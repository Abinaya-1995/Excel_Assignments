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Entri_Excel\Assignments\"/>
    </mc:Choice>
  </mc:AlternateContent>
  <xr:revisionPtr revIDLastSave="0" documentId="13_ncr:1_{4399BC1F-360A-4DC2-ACD4-DFBDF773B55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structions" sheetId="1" r:id="rId1"/>
    <sheet name="Dataset" sheetId="2" r:id="rId2"/>
    <sheet name="Assignment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M2" i="4" l="1"/>
  <c r="M3" i="4"/>
  <c r="M7" i="4" l="1"/>
  <c r="M6" i="4"/>
  <c r="M5" i="4"/>
  <c r="M4" i="4"/>
  <c r="M1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2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4" i="4"/>
  <c r="H3" i="4"/>
  <c r="H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2" i="4"/>
</calcChain>
</file>

<file path=xl/sharedStrings.xml><?xml version="1.0" encoding="utf-8"?>
<sst xmlns="http://schemas.openxmlformats.org/spreadsheetml/2006/main" count="312" uniqueCount="121">
  <si>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</si>
  <si>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</si>
  <si>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</si>
  <si>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</si>
  <si>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</si>
  <si>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</si>
  <si>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</si>
  <si>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</si>
  <si>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</si>
  <si>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</si>
  <si>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</si>
  <si>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</si>
  <si>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</si>
  <si>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</si>
  <si>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</si>
  <si>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</si>
  <si>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</si>
  <si>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</si>
  <si>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</si>
  <si>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</si>
  <si>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</si>
  <si>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</si>
  <si>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</si>
  <si>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</si>
  <si>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</si>
  <si>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</si>
  <si>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</si>
  <si>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</si>
  <si>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</si>
  <si>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</si>
  <si>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</si>
  <si>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</si>
  <si>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</si>
  <si>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</si>
  <si>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</si>
  <si>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</si>
  <si>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</si>
  <si>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</si>
  <si>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</si>
  <si>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</si>
  <si>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</si>
  <si>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</si>
  <si>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</si>
  <si>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</si>
  <si>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</si>
  <si>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</si>
  <si>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</si>
  <si>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</si>
  <si>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</si>
  <si>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</si>
  <si>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</si>
  <si>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</si>
  <si>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</si>
  <si>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</si>
  <si>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</si>
  <si>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</si>
  <si>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</si>
  <si>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</si>
  <si>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</si>
  <si>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</si>
  <si>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</si>
  <si>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</si>
  <si>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</si>
  <si>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</si>
  <si>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</si>
  <si>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</si>
  <si>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</si>
  <si>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</si>
  <si>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</si>
  <si>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</si>
  <si>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</si>
  <si>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</si>
  <si>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</si>
  <si>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</si>
  <si>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</si>
  <si>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</si>
  <si>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</si>
  <si>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</si>
  <si>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</si>
  <si>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</si>
  <si>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</si>
  <si>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</si>
  <si>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</si>
  <si>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</si>
  <si>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</si>
  <si>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</si>
  <si>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</si>
  <si>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</si>
  <si>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</si>
  <si>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</si>
  <si>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</si>
  <si>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</si>
  <si>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</si>
  <si>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</si>
  <si>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</si>
  <si>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</si>
  <si>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</si>
  <si>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</si>
  <si>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</si>
  <si>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</si>
  <si>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</si>
  <si>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</si>
  <si>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</si>
  <si>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</si>
  <si>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</si>
  <si>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</si>
  <si>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</si>
  <si>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</si>
  <si>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</si>
  <si>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</si>
  <si>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Range</t>
  </si>
  <si>
    <t>Day</t>
  </si>
  <si>
    <t>Country Code</t>
  </si>
  <si>
    <t>Month</t>
  </si>
  <si>
    <t>TOTAL</t>
  </si>
  <si>
    <t>PRODUCT COUNT</t>
  </si>
  <si>
    <t>AVERAGE</t>
  </si>
  <si>
    <t>MIN</t>
  </si>
  <si>
    <t>MAX</t>
  </si>
  <si>
    <t>SUMIF "Electronics"</t>
  </si>
  <si>
    <t>COUNTIF "&lt;100"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</si>
</sst>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  <scheme val="minor"/>
    </font>
    <font>
      <b/>
      <sz val="10"/>
      <color theme="5" tint="-0.499984740745262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4DD0E1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7" fillId="3" borderId="0" xfId="0" applyFont="1" applyFill="1"/>
    <xf numFmtId="0" fontId="8" fillId="5" borderId="0" xfId="0" applyFont="1" applyFill="1" applyAlignment="1">
      <alignment horizontal="center"/>
    </xf>
    <xf numFmtId="0" fontId="10" fillId="6" borderId="1" xfId="0" applyFont="1" applyFill="1" applyBorder="1"/>
    <xf numFmtId="0" fontId="11" fillId="0" borderId="1" xfId="0" applyFont="1" applyBorder="1"/>
    <xf numFmtId="1" fontId="11" fillId="0" borderId="1" xfId="0" applyNumberFormat="1" applyFont="1" applyBorder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788FD6-42E7-496C-85F8-61F25207B4F7}" name="Table1" displayName="Table1" ref="A1:J35" totalsRowShown="0" headerRowDxfId="11" dataDxfId="10">
  <autoFilter ref="A1:J35" xr:uid="{4B788FD6-42E7-496C-85F8-61F25207B4F7}"/>
  <tableColumns count="10">
    <tableColumn id="1" xr3:uid="{A2F53726-A516-475E-B5E9-B4C549553FC7}" name="Product ID" dataDxfId="9"/>
    <tableColumn id="2" xr3:uid="{F7058D3F-9496-488B-95B0-C13F339D2840}" name="Product Name" dataDxfId="8"/>
    <tableColumn id="3" xr3:uid="{AF036CC9-0E96-4D15-A9F0-709F37C73A8D}" name="Brand Name" dataDxfId="7"/>
    <tableColumn id="4" xr3:uid="{2E4691B3-23C5-4872-A592-2A9A65B4A837}" name="Price ($)" dataDxfId="6"/>
    <tableColumn id="5" xr3:uid="{5EC7368D-2E43-4126-A08B-3D5EE613A569}" name="Quantity" dataDxfId="5"/>
    <tableColumn id="6" xr3:uid="{45C82137-A46F-48BA-8A9B-D78A28F8DFA8}" name="Category" dataDxfId="4"/>
    <tableColumn id="7" xr3:uid="{25425F06-D54A-453D-AA6C-B31108C53CC3}" name="Price Range" dataDxfId="3">
      <calculatedColumnFormula>IF(Table1[[#This Row],[Price ($)]]&gt;=500,"High Price","Standard Price")</calculatedColumnFormula>
    </tableColumn>
    <tableColumn id="8" xr3:uid="{2FB5A5AE-2904-4D11-9F3E-BA7B0DA8F537}" name="Day" dataDxfId="2">
      <calculatedColumnFormula>LEFT(Table1[[#This Row],[Product ID]],2)</calculatedColumnFormula>
    </tableColumn>
    <tableColumn id="9" xr3:uid="{0FF953CC-5E13-499A-B57A-E8144520550D}" name="Country Code" dataDxfId="1">
      <calculatedColumnFormula>RIGHT(Table1[[#This Row],[Product ID]],2)</calculatedColumnFormula>
    </tableColumn>
    <tableColumn id="10" xr3:uid="{A1FE5D89-5365-4FC0-BE82-CCA5935619A2}" name="Month" dataDxfId="0">
      <calculatedColumnFormula>MID(Table1[[#This Row],[Product ID]],4,3)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activeCell="I12" sqref="I12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workbookViewId="0">
      <selection activeCell="A2" sqref="A2"/>
    </sheetView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6" width="12.6640625" customWidth="1"/>
  </cols>
  <sheetData>
    <row r="1" spans="1:7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7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7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7" ht="15.75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</row>
    <row r="6" spans="1:7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</row>
    <row r="7" spans="1:7" ht="15.75" customHeight="1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7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7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7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7" ht="15.75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7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7" ht="15.75" customHeight="1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7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7" ht="15.75" customHeight="1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7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096E2-7309-4B40-B825-44B58866C7E7}">
  <sheetPr>
    <tabColor theme="9" tint="-0.499984740745262"/>
    <outlinePr summaryBelow="0" summaryRight="0"/>
  </sheetPr>
  <dimension ref="A1:M1000"/>
  <sheetViews>
    <sheetView tabSelected="1" zoomScale="102" zoomScaleNormal="102" workbookViewId="0">
      <selection activeCell="M10" sqref="M10"/>
    </sheetView>
  </sheetViews>
  <sheetFormatPr defaultColWidth="12.6640625" defaultRowHeight="15" customHeight="1" x14ac:dyDescent="0.25"/>
  <cols>
    <col min="1" max="1" width="14.77734375" bestFit="1" customWidth="1"/>
    <col min="2" max="2" width="18" bestFit="1" customWidth="1"/>
    <col min="3" max="3" width="16.21875" bestFit="1" customWidth="1"/>
    <col min="4" max="4" width="12.77734375" bestFit="1" customWidth="1"/>
    <col min="5" max="5" width="12.88671875" bestFit="1" customWidth="1"/>
    <col min="6" max="6" width="13.44140625" bestFit="1" customWidth="1"/>
    <col min="7" max="7" width="16" bestFit="1" customWidth="1"/>
    <col min="9" max="9" width="17.77734375" bestFit="1" customWidth="1"/>
    <col min="12" max="12" width="18.88671875" bestFit="1" customWidth="1"/>
  </cols>
  <sheetData>
    <row r="1" spans="1:13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11" t="s">
        <v>110</v>
      </c>
      <c r="H1" s="11" t="s">
        <v>111</v>
      </c>
      <c r="I1" s="11" t="s">
        <v>112</v>
      </c>
      <c r="J1" s="11" t="s">
        <v>113</v>
      </c>
      <c r="L1" s="12" t="s">
        <v>114</v>
      </c>
      <c r="M1" s="13">
        <f>SUM(Table1[Price ($)])</f>
        <v>10100</v>
      </c>
    </row>
    <row r="2" spans="1:13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10" t="str">
        <f>IF(Table1[[#This Row],[Price ($)]]&gt;=500,"High Price","Standard Price")</f>
        <v>High Price</v>
      </c>
      <c r="H2" s="10" t="str">
        <f>LEFT(Table1[[#This Row],[Product ID]],2)</f>
        <v>28</v>
      </c>
      <c r="I2" s="10" t="str">
        <f>RIGHT(Table1[[#This Row],[Product ID]],2)</f>
        <v>US</v>
      </c>
      <c r="J2" s="10" t="str">
        <f>MID(Table1[[#This Row],[Product ID]],4,3)</f>
        <v>JAN</v>
      </c>
      <c r="L2" s="12" t="s">
        <v>115</v>
      </c>
      <c r="M2" s="13">
        <f>COUNTA(_xlfn.UNIQUE(Table1[Product Name],FALSE))</f>
        <v>21</v>
      </c>
    </row>
    <row r="3" spans="1:13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10" t="str">
        <f>IF(Table1[[#This Row],[Price ($)]]&gt;=500,"High Price","Standard Price")</f>
        <v>Standard Price</v>
      </c>
      <c r="H3" s="10" t="str">
        <f>LEFT(Table1[[#This Row],[Product ID]],2)</f>
        <v>15</v>
      </c>
      <c r="I3" s="10" t="str">
        <f>RIGHT(Table1[[#This Row],[Product ID]],2)</f>
        <v>US</v>
      </c>
      <c r="J3" s="10" t="str">
        <f>MID(Table1[[#This Row],[Product ID]],4,3)</f>
        <v>FEB</v>
      </c>
      <c r="L3" s="12" t="s">
        <v>116</v>
      </c>
      <c r="M3" s="14">
        <f>AVERAGE(Table1[Price ($)])</f>
        <v>297.05882352941177</v>
      </c>
    </row>
    <row r="4" spans="1:13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10" t="str">
        <f>IF(Table1[[#This Row],[Price ($)]]&gt;=500,"High Price","Standard Price")</f>
        <v>Standard Price</v>
      </c>
      <c r="H4" s="10" t="str">
        <f>LEFT(Table1[[#This Row],[Product ID]],2)</f>
        <v>03</v>
      </c>
      <c r="I4" s="10" t="str">
        <f>RIGHT(Table1[[#This Row],[Product ID]],2)</f>
        <v>US</v>
      </c>
      <c r="J4" s="10" t="str">
        <f>MID(Table1[[#This Row],[Product ID]],4,3)</f>
        <v>MAR</v>
      </c>
      <c r="L4" s="12" t="s">
        <v>117</v>
      </c>
      <c r="M4" s="13">
        <f>MIN(Table1[Price ($)])</f>
        <v>30</v>
      </c>
    </row>
    <row r="5" spans="1:13" ht="15.75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10" t="str">
        <f>IF(Table1[[#This Row],[Price ($)]]&gt;=500,"High Price","Standard Price")</f>
        <v>High Price</v>
      </c>
      <c r="H5" s="10" t="str">
        <f>LEFT(Table1[[#This Row],[Product ID]],2)</f>
        <v>11</v>
      </c>
      <c r="I5" s="10" t="str">
        <f>RIGHT(Table1[[#This Row],[Product ID]],2)</f>
        <v>US</v>
      </c>
      <c r="J5" s="10" t="str">
        <f>MID(Table1[[#This Row],[Product ID]],4,3)</f>
        <v>APR</v>
      </c>
      <c r="L5" s="12" t="s">
        <v>118</v>
      </c>
      <c r="M5" s="13">
        <f>MAX(Table1[Price ($)])</f>
        <v>1000</v>
      </c>
    </row>
    <row r="6" spans="1:13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10" t="str">
        <f>IF(Table1[[#This Row],[Price ($)]]&gt;=500,"High Price","Standard Price")</f>
        <v>Standard Price</v>
      </c>
      <c r="H6" s="10" t="str">
        <f>LEFT(Table1[[#This Row],[Product ID]],2)</f>
        <v>22</v>
      </c>
      <c r="I6" s="10" t="str">
        <f>RIGHT(Table1[[#This Row],[Product ID]],2)</f>
        <v>US</v>
      </c>
      <c r="J6" s="10" t="str">
        <f>MID(Table1[[#This Row],[Product ID]],4,3)</f>
        <v>MAY</v>
      </c>
      <c r="L6" s="12" t="s">
        <v>119</v>
      </c>
      <c r="M6" s="13">
        <f>SUMIF(Table1[Category],"Electronics",Table1[Price ($)])</f>
        <v>8050</v>
      </c>
    </row>
    <row r="7" spans="1:13" ht="15.75" customHeight="1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10" t="str">
        <f>IF(Table1[[#This Row],[Price ($)]]&gt;=500,"High Price","Standard Price")</f>
        <v>Standard Price</v>
      </c>
      <c r="H7" s="10" t="str">
        <f>LEFT(Table1[[#This Row],[Product ID]],2)</f>
        <v>07</v>
      </c>
      <c r="I7" s="10" t="str">
        <f>RIGHT(Table1[[#This Row],[Product ID]],2)</f>
        <v>UK</v>
      </c>
      <c r="J7" s="10" t="str">
        <f>MID(Table1[[#This Row],[Product ID]],4,3)</f>
        <v>JUN</v>
      </c>
      <c r="L7" s="12" t="s">
        <v>120</v>
      </c>
      <c r="M7" s="13">
        <f>COUNTIF(Table1[Price ($)],"&lt;100")</f>
        <v>11</v>
      </c>
    </row>
    <row r="8" spans="1:13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10" t="str">
        <f>IF(Table1[[#This Row],[Price ($)]]&gt;=500,"High Price","Standard Price")</f>
        <v>Standard Price</v>
      </c>
      <c r="H8" s="10" t="str">
        <f>LEFT(Table1[[#This Row],[Product ID]],2)</f>
        <v>19</v>
      </c>
      <c r="I8" s="10" t="str">
        <f>RIGHT(Table1[[#This Row],[Product ID]],2)</f>
        <v>UK</v>
      </c>
      <c r="J8" s="10" t="str">
        <f>MID(Table1[[#This Row],[Product ID]],4,3)</f>
        <v>JUL</v>
      </c>
    </row>
    <row r="9" spans="1:13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10" t="str">
        <f>IF(Table1[[#This Row],[Price ($)]]&gt;=500,"High Price","Standard Price")</f>
        <v>Standard Price</v>
      </c>
      <c r="H9" s="10" t="str">
        <f>LEFT(Table1[[#This Row],[Product ID]],2)</f>
        <v>23</v>
      </c>
      <c r="I9" s="10" t="str">
        <f>RIGHT(Table1[[#This Row],[Product ID]],2)</f>
        <v>UK</v>
      </c>
      <c r="J9" s="10" t="str">
        <f>MID(Table1[[#This Row],[Product ID]],4,3)</f>
        <v>AUG</v>
      </c>
    </row>
    <row r="10" spans="1:13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10" t="str">
        <f>IF(Table1[[#This Row],[Price ($)]]&gt;=500,"High Price","Standard Price")</f>
        <v>High Price</v>
      </c>
      <c r="H10" s="10" t="str">
        <f>LEFT(Table1[[#This Row],[Product ID]],2)</f>
        <v>05</v>
      </c>
      <c r="I10" s="10" t="str">
        <f>RIGHT(Table1[[#This Row],[Product ID]],2)</f>
        <v>UK</v>
      </c>
      <c r="J10" s="10" t="str">
        <f>MID(Table1[[#This Row],[Product ID]],4,3)</f>
        <v>SEP</v>
      </c>
    </row>
    <row r="11" spans="1:13" ht="15.75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10" t="str">
        <f>IF(Table1[[#This Row],[Price ($)]]&gt;=500,"High Price","Standard Price")</f>
        <v>Standard Price</v>
      </c>
      <c r="H11" s="10" t="str">
        <f>LEFT(Table1[[#This Row],[Product ID]],2)</f>
        <v>14</v>
      </c>
      <c r="I11" s="10" t="str">
        <f>RIGHT(Table1[[#This Row],[Product ID]],2)</f>
        <v>UK</v>
      </c>
      <c r="J11" s="10" t="str">
        <f>MID(Table1[[#This Row],[Product ID]],4,3)</f>
        <v>OCT</v>
      </c>
    </row>
    <row r="12" spans="1:13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10" t="str">
        <f>IF(Table1[[#This Row],[Price ($)]]&gt;=500,"High Price","Standard Price")</f>
        <v>High Price</v>
      </c>
      <c r="H12" s="10" t="str">
        <f>LEFT(Table1[[#This Row],[Product ID]],2)</f>
        <v>17</v>
      </c>
      <c r="I12" s="10" t="str">
        <f>RIGHT(Table1[[#This Row],[Product ID]],2)</f>
        <v>IN</v>
      </c>
      <c r="J12" s="10" t="str">
        <f>MID(Table1[[#This Row],[Product ID]],4,3)</f>
        <v>JUN</v>
      </c>
    </row>
    <row r="13" spans="1:13" ht="15.75" customHeight="1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10" t="str">
        <f>IF(Table1[[#This Row],[Price ($)]]&gt;=500,"High Price","Standard Price")</f>
        <v>Standard Price</v>
      </c>
      <c r="H13" s="10" t="str">
        <f>LEFT(Table1[[#This Row],[Product ID]],2)</f>
        <v>25</v>
      </c>
      <c r="I13" s="10" t="str">
        <f>RIGHT(Table1[[#This Row],[Product ID]],2)</f>
        <v>AU</v>
      </c>
      <c r="J13" s="10" t="str">
        <f>MID(Table1[[#This Row],[Product ID]],4,3)</f>
        <v>NOV</v>
      </c>
    </row>
    <row r="14" spans="1:13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10" t="str">
        <f>IF(Table1[[#This Row],[Price ($)]]&gt;=500,"High Price","Standard Price")</f>
        <v>Standard Price</v>
      </c>
      <c r="H14" s="10" t="str">
        <f>LEFT(Table1[[#This Row],[Product ID]],2)</f>
        <v>08</v>
      </c>
      <c r="I14" s="10" t="str">
        <f>RIGHT(Table1[[#This Row],[Product ID]],2)</f>
        <v>DE</v>
      </c>
      <c r="J14" s="10" t="str">
        <f>MID(Table1[[#This Row],[Product ID]],4,3)</f>
        <v>DEC</v>
      </c>
    </row>
    <row r="15" spans="1:13" ht="15.75" customHeight="1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10" t="str">
        <f>IF(Table1[[#This Row],[Price ($)]]&gt;=500,"High Price","Standard Price")</f>
        <v>Standard Price</v>
      </c>
      <c r="H15" s="10" t="str">
        <f>LEFT(Table1[[#This Row],[Product ID]],2)</f>
        <v>18</v>
      </c>
      <c r="I15" s="10" t="str">
        <f>RIGHT(Table1[[#This Row],[Product ID]],2)</f>
        <v>CA</v>
      </c>
      <c r="J15" s="10" t="str">
        <f>MID(Table1[[#This Row],[Product ID]],4,3)</f>
        <v>FEB</v>
      </c>
    </row>
    <row r="16" spans="1:13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10" t="str">
        <f>IF(Table1[[#This Row],[Price ($)]]&gt;=500,"High Price","Standard Price")</f>
        <v>Standard Price</v>
      </c>
      <c r="H16" s="10" t="str">
        <f>LEFT(Table1[[#This Row],[Product ID]],2)</f>
        <v>16</v>
      </c>
      <c r="I16" s="10" t="str">
        <f>RIGHT(Table1[[#This Row],[Product ID]],2)</f>
        <v>ES</v>
      </c>
      <c r="J16" s="10" t="str">
        <f>MID(Table1[[#This Row],[Product ID]],4,3)</f>
        <v>APR</v>
      </c>
    </row>
    <row r="17" spans="1:10" ht="15.75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10" t="str">
        <f>IF(Table1[[#This Row],[Price ($)]]&gt;=500,"High Price","Standard Price")</f>
        <v>Standard Price</v>
      </c>
      <c r="H17" s="10" t="str">
        <f>LEFT(Table1[[#This Row],[Product ID]],2)</f>
        <v>21</v>
      </c>
      <c r="I17" s="10" t="str">
        <f>RIGHT(Table1[[#This Row],[Product ID]],2)</f>
        <v>CA</v>
      </c>
      <c r="J17" s="10" t="str">
        <f>MID(Table1[[#This Row],[Product ID]],4,3)</f>
        <v>AUG</v>
      </c>
    </row>
    <row r="18" spans="1:10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10" t="str">
        <f>IF(Table1[[#This Row],[Price ($)]]&gt;=500,"High Price","Standard Price")</f>
        <v>Standard Price</v>
      </c>
      <c r="H18" s="10" t="str">
        <f>LEFT(Table1[[#This Row],[Product ID]],2)</f>
        <v>20</v>
      </c>
      <c r="I18" s="10" t="str">
        <f>RIGHT(Table1[[#This Row],[Product ID]],2)</f>
        <v>CN</v>
      </c>
      <c r="J18" s="10" t="str">
        <f>MID(Table1[[#This Row],[Product ID]],4,3)</f>
        <v>AUG</v>
      </c>
    </row>
    <row r="19" spans="1:10" ht="15.75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10" t="str">
        <f>IF(Table1[[#This Row],[Price ($)]]&gt;=500,"High Price","Standard Price")</f>
        <v>High Price</v>
      </c>
      <c r="H19" s="10" t="str">
        <f>LEFT(Table1[[#This Row],[Product ID]],2)</f>
        <v>27</v>
      </c>
      <c r="I19" s="10" t="str">
        <f>RIGHT(Table1[[#This Row],[Product ID]],2)</f>
        <v>IT</v>
      </c>
      <c r="J19" s="10" t="str">
        <f>MID(Table1[[#This Row],[Product ID]],4,3)</f>
        <v>JAN</v>
      </c>
    </row>
    <row r="20" spans="1:10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10" t="str">
        <f>IF(Table1[[#This Row],[Price ($)]]&gt;=500,"High Price","Standard Price")</f>
        <v>Standard Price</v>
      </c>
      <c r="H20" s="10" t="str">
        <f>LEFT(Table1[[#This Row],[Product ID]],2)</f>
        <v>01</v>
      </c>
      <c r="I20" s="10" t="str">
        <f>RIGHT(Table1[[#This Row],[Product ID]],2)</f>
        <v>UK</v>
      </c>
      <c r="J20" s="10" t="str">
        <f>MID(Table1[[#This Row],[Product ID]],4,3)</f>
        <v>MAR</v>
      </c>
    </row>
    <row r="21" spans="1:10" ht="15.75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10" t="str">
        <f>IF(Table1[[#This Row],[Price ($)]]&gt;=500,"High Price","Standard Price")</f>
        <v>Standard Price</v>
      </c>
      <c r="H21" s="10" t="str">
        <f>LEFT(Table1[[#This Row],[Product ID]],2)</f>
        <v>14</v>
      </c>
      <c r="I21" s="10" t="str">
        <f>RIGHT(Table1[[#This Row],[Product ID]],2)</f>
        <v>US</v>
      </c>
      <c r="J21" s="10" t="str">
        <f>MID(Table1[[#This Row],[Product ID]],4,3)</f>
        <v>AUG</v>
      </c>
    </row>
    <row r="22" spans="1:10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10" t="str">
        <f>IF(Table1[[#This Row],[Price ($)]]&gt;=500,"High Price","Standard Price")</f>
        <v>High Price</v>
      </c>
      <c r="H22" s="10" t="str">
        <f>LEFT(Table1[[#This Row],[Product ID]],2)</f>
        <v>14</v>
      </c>
      <c r="I22" s="10" t="str">
        <f>RIGHT(Table1[[#This Row],[Product ID]],2)</f>
        <v>RU</v>
      </c>
      <c r="J22" s="10" t="str">
        <f>MID(Table1[[#This Row],[Product ID]],4,3)</f>
        <v>MAY</v>
      </c>
    </row>
    <row r="23" spans="1:10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10" t="str">
        <f>IF(Table1[[#This Row],[Price ($)]]&gt;=500,"High Price","Standard Price")</f>
        <v>Standard Price</v>
      </c>
      <c r="H23" s="10" t="str">
        <f>LEFT(Table1[[#This Row],[Product ID]],2)</f>
        <v>09</v>
      </c>
      <c r="I23" s="10" t="str">
        <f>RIGHT(Table1[[#This Row],[Product ID]],2)</f>
        <v>CA</v>
      </c>
      <c r="J23" s="10" t="str">
        <f>MID(Table1[[#This Row],[Product ID]],4,3)</f>
        <v>JAN</v>
      </c>
    </row>
    <row r="24" spans="1:10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10" t="str">
        <f>IF(Table1[[#This Row],[Price ($)]]&gt;=500,"High Price","Standard Price")</f>
        <v>Standard Price</v>
      </c>
      <c r="H24" s="10" t="str">
        <f>LEFT(Table1[[#This Row],[Product ID]],2)</f>
        <v>19</v>
      </c>
      <c r="I24" s="10" t="str">
        <f>RIGHT(Table1[[#This Row],[Product ID]],2)</f>
        <v>BR</v>
      </c>
      <c r="J24" s="10" t="str">
        <f>MID(Table1[[#This Row],[Product ID]],4,3)</f>
        <v>JUL</v>
      </c>
    </row>
    <row r="25" spans="1:10" ht="15.75" customHeigh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10" t="str">
        <f>IF(Table1[[#This Row],[Price ($)]]&gt;=500,"High Price","Standard Price")</f>
        <v>Standard Price</v>
      </c>
      <c r="H25" s="10" t="str">
        <f>LEFT(Table1[[#This Row],[Product ID]],2)</f>
        <v>21</v>
      </c>
      <c r="I25" s="10" t="str">
        <f>RIGHT(Table1[[#This Row],[Product ID]],2)</f>
        <v>CA</v>
      </c>
      <c r="J25" s="10" t="str">
        <f>MID(Table1[[#This Row],[Product ID]],4,3)</f>
        <v>AUG</v>
      </c>
    </row>
    <row r="26" spans="1:10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10" t="str">
        <f>IF(Table1[[#This Row],[Price ($)]]&gt;=500,"High Price","Standard Price")</f>
        <v>High Price</v>
      </c>
      <c r="H26" s="10" t="str">
        <f>LEFT(Table1[[#This Row],[Product ID]],2)</f>
        <v>29</v>
      </c>
      <c r="I26" s="10" t="str">
        <f>RIGHT(Table1[[#This Row],[Product ID]],2)</f>
        <v>CA</v>
      </c>
      <c r="J26" s="10" t="str">
        <f>MID(Table1[[#This Row],[Product ID]],4,3)</f>
        <v>SEP</v>
      </c>
    </row>
    <row r="27" spans="1:10" ht="15.75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10" t="str">
        <f>IF(Table1[[#This Row],[Price ($)]]&gt;=500,"High Price","Standard Price")</f>
        <v>Standard Price</v>
      </c>
      <c r="H27" s="10" t="str">
        <f>LEFT(Table1[[#This Row],[Product ID]],2)</f>
        <v>03</v>
      </c>
      <c r="I27" s="10" t="str">
        <f>RIGHT(Table1[[#This Row],[Product ID]],2)</f>
        <v>CA</v>
      </c>
      <c r="J27" s="10" t="str">
        <f>MID(Table1[[#This Row],[Product ID]],4,3)</f>
        <v>JUN</v>
      </c>
    </row>
    <row r="28" spans="1:10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10" t="str">
        <f>IF(Table1[[#This Row],[Price ($)]]&gt;=500,"High Price","Standard Price")</f>
        <v>Standard Price</v>
      </c>
      <c r="H28" s="10" t="str">
        <f>LEFT(Table1[[#This Row],[Product ID]],2)</f>
        <v>11</v>
      </c>
      <c r="I28" s="10" t="str">
        <f>RIGHT(Table1[[#This Row],[Product ID]],2)</f>
        <v>CA</v>
      </c>
      <c r="J28" s="10" t="str">
        <f>MID(Table1[[#This Row],[Product ID]],4,3)</f>
        <v>JUL</v>
      </c>
    </row>
    <row r="29" spans="1:10" ht="15.75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10" t="str">
        <f>IF(Table1[[#This Row],[Price ($)]]&gt;=500,"High Price","Standard Price")</f>
        <v>Standard Price</v>
      </c>
      <c r="H29" s="10" t="str">
        <f>LEFT(Table1[[#This Row],[Product ID]],2)</f>
        <v>16</v>
      </c>
      <c r="I29" s="10" t="str">
        <f>RIGHT(Table1[[#This Row],[Product ID]],2)</f>
        <v>ES</v>
      </c>
      <c r="J29" s="10" t="str">
        <f>MID(Table1[[#This Row],[Product ID]],4,3)</f>
        <v>APR</v>
      </c>
    </row>
    <row r="30" spans="1:10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10" t="str">
        <f>IF(Table1[[#This Row],[Price ($)]]&gt;=500,"High Price","Standard Price")</f>
        <v>Standard Price</v>
      </c>
      <c r="H30" s="10" t="str">
        <f>LEFT(Table1[[#This Row],[Product ID]],2)</f>
        <v>07</v>
      </c>
      <c r="I30" s="10" t="str">
        <f>RIGHT(Table1[[#This Row],[Product ID]],2)</f>
        <v>CA</v>
      </c>
      <c r="J30" s="10" t="str">
        <f>MID(Table1[[#This Row],[Product ID]],4,3)</f>
        <v>MAR</v>
      </c>
    </row>
    <row r="31" spans="1:10" ht="15.75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10" t="str">
        <f>IF(Table1[[#This Row],[Price ($)]]&gt;=500,"High Price","Standard Price")</f>
        <v>Standard Price</v>
      </c>
      <c r="H31" s="10" t="str">
        <f>LEFT(Table1[[#This Row],[Product ID]],2)</f>
        <v>13</v>
      </c>
      <c r="I31" s="10" t="str">
        <f>RIGHT(Table1[[#This Row],[Product ID]],2)</f>
        <v>CA</v>
      </c>
      <c r="J31" s="10" t="str">
        <f>MID(Table1[[#This Row],[Product ID]],4,3)</f>
        <v>APR</v>
      </c>
    </row>
    <row r="32" spans="1:10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10" t="str">
        <f>IF(Table1[[#This Row],[Price ($)]]&gt;=500,"High Price","Standard Price")</f>
        <v>Standard Price</v>
      </c>
      <c r="H32" s="10" t="str">
        <f>LEFT(Table1[[#This Row],[Product ID]],2)</f>
        <v>24</v>
      </c>
      <c r="I32" s="10" t="str">
        <f>RIGHT(Table1[[#This Row],[Product ID]],2)</f>
        <v>CA</v>
      </c>
      <c r="J32" s="10" t="str">
        <f>MID(Table1[[#This Row],[Product ID]],4,3)</f>
        <v>MAY</v>
      </c>
    </row>
    <row r="33" spans="1:10" ht="15.75" customHeigh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10" t="str">
        <f>IF(Table1[[#This Row],[Price ($)]]&gt;=500,"High Price","Standard Price")</f>
        <v>Standard Price</v>
      </c>
      <c r="H33" s="10" t="str">
        <f>LEFT(Table1[[#This Row],[Product ID]],2)</f>
        <v>02</v>
      </c>
      <c r="I33" s="10" t="str">
        <f>RIGHT(Table1[[#This Row],[Product ID]],2)</f>
        <v>CA</v>
      </c>
      <c r="J33" s="10" t="str">
        <f>MID(Table1[[#This Row],[Product ID]],4,3)</f>
        <v>DEC</v>
      </c>
    </row>
    <row r="34" spans="1:10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10" t="str">
        <f>IF(Table1[[#This Row],[Price ($)]]&gt;=500,"High Price","Standard Price")</f>
        <v>High Price</v>
      </c>
      <c r="H34" s="10" t="str">
        <f>LEFT(Table1[[#This Row],[Product ID]],2)</f>
        <v>17</v>
      </c>
      <c r="I34" s="10" t="str">
        <f>RIGHT(Table1[[#This Row],[Product ID]],2)</f>
        <v>IN</v>
      </c>
      <c r="J34" s="10" t="str">
        <f>MID(Table1[[#This Row],[Product ID]],4,3)</f>
        <v>JUN</v>
      </c>
    </row>
    <row r="35" spans="1:10" ht="15.75" customHeight="1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10" t="str">
        <f>IF(Table1[[#This Row],[Price ($)]]&gt;=500,"High Price","Standard Price")</f>
        <v>Standard Price</v>
      </c>
      <c r="H35" s="10" t="str">
        <f>LEFT(Table1[[#This Row],[Product ID]],2)</f>
        <v>09</v>
      </c>
      <c r="I35" s="10" t="str">
        <f>RIGHT(Table1[[#This Row],[Product ID]],2)</f>
        <v>FR</v>
      </c>
      <c r="J35" s="10" t="str">
        <f>MID(Table1[[#This Row],[Product ID]],4,3)</f>
        <v>JUL</v>
      </c>
    </row>
    <row r="36" spans="1:10" ht="15.75" customHeight="1" x14ac:dyDescent="0.25"/>
    <row r="37" spans="1:10" ht="15.75" customHeight="1" x14ac:dyDescent="0.25"/>
    <row r="38" spans="1:10" ht="15.75" customHeight="1" x14ac:dyDescent="0.25"/>
    <row r="39" spans="1:10" ht="15.75" customHeight="1" x14ac:dyDescent="0.25"/>
    <row r="40" spans="1:10" ht="15.75" customHeight="1" x14ac:dyDescent="0.25"/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9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Assignment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ABINAYA</dc:creator>
  <cp:lastModifiedBy>Abinaya L</cp:lastModifiedBy>
  <dcterms:created xsi:type="dcterms:W3CDTF">2025-12-26T10:33:40Z</dcterms:created>
  <dcterms:modified xsi:type="dcterms:W3CDTF">2025-12-27T15:11:47Z</dcterms:modified>
</cp:coreProperties>
</file>