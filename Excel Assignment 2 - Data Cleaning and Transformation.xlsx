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D:\Entri_Excel\Assignments\"/>
    </mc:Choice>
  </mc:AlternateContent>
  <xr:revisionPtr revIDLastSave="0" documentId="13_ncr:1_{AFBFC939-0A98-44DC-90E3-9B720488DFA6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Instructions" sheetId="1" r:id="rId1"/>
    <sheet name="Dataset" sheetId="2" r:id="rId2"/>
    <sheet name="Cleaning" sheetId="5" r:id="rId3"/>
    <sheet name="Cleaned" sheetId="14" r:id="rId4"/>
  </sheets>
  <definedNames>
    <definedName name="_xlnm._FilterDatabase" localSheetId="2" hidden="1">Cleaning!$A$1:$J$32</definedName>
    <definedName name="_xlcn.WorksheetConnection_ExcelAssignment2DataCleaningandTransformation.xlsxTable1_11" hidden="1">Table1_1</definedName>
    <definedName name="_xlcn.WorksheetConnection_ExcelAssignment2DataCleaningandTransformation.xlsxTable11" hidden="1">Table1[]</definedName>
  </definedNames>
  <calcPr calcId="191029"/>
  <pivotCaches>
    <pivotCache cacheId="0" r:id="rId5"/>
  </pivotCaches>
  <extLst>
    <ext xmlns:x15="http://schemas.microsoft.com/office/spreadsheetml/2010/11/main" uri="{FCE2AD5D-F65C-4FA6-A056-5C36A1767C68}">
      <x15:dataModel>
        <x15:modelTables>
          <x15:modelTable id="Table1" name="Table1" connection="WorksheetConnection_Excel Assignment 2 - Data Cleaning and Transformation.xlsx!Table1"/>
          <x15:modelTable id="Table1_1" name="Table1_1" connection="WorksheetConnection_Excel Assignment 2 - Data Cleaning and Transformation.xlsx!Table1_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7" roundtripDataChecksum="rIR6213FxEpgZ/k1UDjxyMHI45/G9Bc960XOAAH4UN4="/>
    </ext>
  </extLst>
</workbook>
</file>

<file path=xl/calcChain.xml><?xml version="1.0" encoding="utf-8"?>
<calcChain xmlns="http://schemas.openxmlformats.org/spreadsheetml/2006/main">
  <c r="K3" i="5" l="1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2" i="5"/>
  <c r="H2" i="5"/>
  <c r="B2" i="5"/>
  <c r="H30" i="5"/>
  <c r="H27" i="5"/>
  <c r="H28" i="5"/>
  <c r="H31" i="5"/>
  <c r="H23" i="5"/>
  <c r="H25" i="5"/>
  <c r="H26" i="5"/>
  <c r="H22" i="5"/>
  <c r="H24" i="5"/>
  <c r="H18" i="5"/>
  <c r="H15" i="5"/>
  <c r="H10" i="5"/>
  <c r="H16" i="5"/>
  <c r="H11" i="5"/>
  <c r="H14" i="5"/>
  <c r="H19" i="5"/>
  <c r="H21" i="5"/>
  <c r="H29" i="5"/>
  <c r="H20" i="5"/>
  <c r="H7" i="5"/>
  <c r="H3" i="5"/>
  <c r="H13" i="5"/>
  <c r="H5" i="5"/>
  <c r="H8" i="5"/>
  <c r="H6" i="5"/>
  <c r="H9" i="5"/>
  <c r="H12" i="5"/>
  <c r="H4" i="5"/>
  <c r="H17" i="5"/>
  <c r="H32" i="5"/>
  <c r="B30" i="5"/>
  <c r="B27" i="5"/>
  <c r="B28" i="5"/>
  <c r="B31" i="5"/>
  <c r="B23" i="5"/>
  <c r="B25" i="5"/>
  <c r="B26" i="5"/>
  <c r="B22" i="5"/>
  <c r="B24" i="5"/>
  <c r="B18" i="5"/>
  <c r="B15" i="5"/>
  <c r="B10" i="5"/>
  <c r="B16" i="5"/>
  <c r="B11" i="5"/>
  <c r="B14" i="5"/>
  <c r="B19" i="5"/>
  <c r="B21" i="5"/>
  <c r="B29" i="5"/>
  <c r="B20" i="5"/>
  <c r="B7" i="5"/>
  <c r="B3" i="5"/>
  <c r="B13" i="5"/>
  <c r="B5" i="5"/>
  <c r="B8" i="5"/>
  <c r="B6" i="5"/>
  <c r="B9" i="5"/>
  <c r="B12" i="5"/>
  <c r="B4" i="5"/>
  <c r="B17" i="5"/>
  <c r="B32" i="5"/>
  <c r="F30" i="5"/>
  <c r="F27" i="5"/>
  <c r="F28" i="5"/>
  <c r="F31" i="5"/>
  <c r="F23" i="5"/>
  <c r="F25" i="5"/>
  <c r="F26" i="5"/>
  <c r="F22" i="5"/>
  <c r="F24" i="5"/>
  <c r="F18" i="5"/>
  <c r="F2" i="5"/>
  <c r="F15" i="5"/>
  <c r="F10" i="5"/>
  <c r="F16" i="5"/>
  <c r="F11" i="5"/>
  <c r="F14" i="5"/>
  <c r="F19" i="5"/>
  <c r="F21" i="5"/>
  <c r="F29" i="5"/>
  <c r="F20" i="5"/>
  <c r="F7" i="5"/>
  <c r="F3" i="5"/>
  <c r="F13" i="5"/>
  <c r="F5" i="5"/>
  <c r="F8" i="5"/>
  <c r="F6" i="5"/>
  <c r="F9" i="5"/>
  <c r="F12" i="5"/>
  <c r="F4" i="5"/>
  <c r="F17" i="5"/>
  <c r="F32" i="5"/>
  <c r="C30" i="5"/>
  <c r="C27" i="5"/>
  <c r="C28" i="5"/>
  <c r="C31" i="5"/>
  <c r="C23" i="5"/>
  <c r="C25" i="5"/>
  <c r="C26" i="5"/>
  <c r="C22" i="5"/>
  <c r="C24" i="5"/>
  <c r="C18" i="5"/>
  <c r="C2" i="5"/>
  <c r="C15" i="5"/>
  <c r="C10" i="5"/>
  <c r="C16" i="5"/>
  <c r="C11" i="5"/>
  <c r="C14" i="5"/>
  <c r="C19" i="5"/>
  <c r="C21" i="5"/>
  <c r="C29" i="5"/>
  <c r="C20" i="5"/>
  <c r="C7" i="5"/>
  <c r="C3" i="5"/>
  <c r="C13" i="5"/>
  <c r="C5" i="5"/>
  <c r="C8" i="5"/>
  <c r="C6" i="5"/>
  <c r="C9" i="5"/>
  <c r="C12" i="5"/>
  <c r="C4" i="5"/>
  <c r="C17" i="5"/>
  <c r="C32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9D42DD4-D423-4D79-979B-6220F9121496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  <connection id="2" xr16:uid="{EB8A4738-4424-4934-86AA-5E30E059911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9AEA2E3B-CA41-417D-A030-817DDAF10C81}" name="WorksheetConnection_Excel Assignment 2 - Data Cleaning and Transformation.xlsx!Table1" type="102" refreshedVersion="8" minRefreshableVersion="5">
    <extLst>
      <ext xmlns:x15="http://schemas.microsoft.com/office/spreadsheetml/2010/11/main" uri="{DE250136-89BD-433C-8126-D09CA5730AF9}">
        <x15:connection id="Table1" autoDelete="1">
          <x15:rangePr sourceName="_xlcn.WorksheetConnection_ExcelAssignment2DataCleaningandTransformation.xlsxTable11"/>
        </x15:connection>
      </ext>
    </extLst>
  </connection>
  <connection id="4" xr16:uid="{5BA64375-1471-475C-BB77-1290AD97D8B3}" name="WorksheetConnection_Excel Assignment 2 - Data Cleaning and Transformation.xlsx!Table1_1" type="102" refreshedVersion="8" minRefreshableVersion="5">
    <extLst>
      <ext xmlns:x15="http://schemas.microsoft.com/office/spreadsheetml/2010/11/main" uri="{DE250136-89BD-433C-8126-D09CA5730AF9}">
        <x15:connection id="Table1_1">
          <x15:rangePr sourceName="_xlcn.WorksheetConnection_ExcelAssignment2DataCleaningandTransformation.xlsxTable1_11"/>
        </x15:connection>
      </ext>
    </extLst>
  </connection>
</connections>
</file>

<file path=xl/sharedStrings.xml><?xml version="1.0" encoding="utf-8"?>
<sst xmlns="http://schemas.openxmlformats.org/spreadsheetml/2006/main" count="467" uniqueCount="219">
  <si>
    <t>Perform the following in the dataset from the 'Dataset' sheet.</t>
  </si>
  <si>
    <t>1) Handling Missing Values:</t>
  </si>
  <si>
    <t>• Check for missing values in the 'Price' column. How would you handle products with missing price information?</t>
  </si>
  <si>
    <t>• If there are products with missing categories, propose a strategy to impute or deal with these missing values effectively.</t>
  </si>
  <si>
    <t>2) Correcting Inconsistent Data:</t>
  </si>
  <si>
    <t>• Identify any inconsistent text formats present in the "Product Name" column.</t>
  </si>
  <si>
    <t>• Identify any typos present in the "Category" column.</t>
  </si>
  <si>
    <t>• Use the find and replace function to standardize the text formats in the "Product Name" column and fix any typos or misspellings in the "Category" column.</t>
  </si>
  <si>
    <t>3) Removing Duplicates:</t>
  </si>
  <si>
    <t>• Identify any duplicate rows within the dataset based on the entirety of each row, and remove them if any.</t>
  </si>
  <si>
    <t>4) Splitting and Merging Data:</t>
  </si>
  <si>
    <t>• Split the "Product ID" column into two separate columns for " Manufacturing Date" and "Country Code". Remove unnecessary characters, if any.</t>
  </si>
  <si>
    <t>• Merge the "Brand Name" and "Product Name" columns into one column named "Product Brand".</t>
  </si>
  <si>
    <t>5) Number Formatting:</t>
  </si>
  <si>
    <t xml:space="preserve">• Format the data type of the "Price" column to currency format. </t>
  </si>
  <si>
    <t xml:space="preserve">• Format the "Manufacturing Date" column to display dates in the "DD-MM-YYYY " format. </t>
  </si>
  <si>
    <t>6) Conditional Formatting:</t>
  </si>
  <si>
    <t>• Apply data bar or color scales conditional formatting in the "Price" column.</t>
  </si>
  <si>
    <t>• Create a custom rule for conditional formatting in the "Category" column to highlight cells where the category is "Electronics."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</si>
  <si>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</si>
  <si>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</si>
  <si>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</si>
  <si>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</si>
  <si>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</si>
  <si>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</si>
  <si>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</si>
  <si>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</si>
  <si>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</si>
  <si>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</si>
  <si>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</si>
  <si>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</si>
  <si>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</si>
  <si>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</si>
  <si>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</si>
  <si>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</si>
  <si>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</si>
  <si>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</si>
  <si>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</si>
  <si>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</si>
  <si>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</si>
  <si>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</si>
  <si>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</si>
  <si>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</si>
  <si>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07-JUN-UK</t>
  </si>
  <si>
    <t>Headphones</t>
  </si>
  <si>
    <t>Sony</t>
  </si>
  <si>
    <t>Electroni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</si>
  <si>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</si>
  <si>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</si>
  <si>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</si>
  <si>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</si>
  <si>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</si>
  <si>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</si>
  <si>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</si>
  <si>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</si>
  <si>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</si>
  <si>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</si>
  <si>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</si>
  <si>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</si>
  <si>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</si>
  <si>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</si>
  <si>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</si>
  <si>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</si>
  <si>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</si>
  <si>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</si>
  <si>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</si>
  <si>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</si>
  <si>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</si>
  <si>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</si>
  <si>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</si>
  <si>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headphones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</si>
  <si>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</si>
  <si>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</si>
  <si>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</si>
  <si>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</si>
  <si>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</si>
  <si>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</si>
  <si>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</si>
  <si>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</si>
  <si>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</si>
  <si>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</si>
  <si>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</si>
  <si>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</si>
  <si>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</si>
  <si>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</si>
  <si>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</si>
  <si>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</si>
  <si>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</si>
  <si>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</si>
  <si>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</si>
  <si>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</si>
  <si>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</si>
  <si>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</si>
  <si>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</si>
  <si>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</si>
  <si>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</si>
  <si>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</si>
  <si>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</si>
  <si>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</si>
  <si>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</si>
  <si>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</si>
  <si>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</si>
  <si>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</si>
  <si>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</si>
  <si>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</si>
  <si>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</si>
  <si>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</si>
  <si>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</si>
  <si>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</si>
  <si>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</si>
  <si>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</si>
  <si>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</si>
  <si>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</si>
  <si>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</si>
  <si>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</si>
  <si>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</si>
  <si>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Country Code</t>
  </si>
  <si>
    <t>Manufacturing Date</t>
  </si>
  <si>
    <t>Product Brand</t>
  </si>
  <si>
    <t>T-Shirt</t>
  </si>
  <si>
    <t>Hp</t>
  </si>
  <si>
    <t>Levi'S</t>
  </si>
  <si>
    <t>Price2</t>
  </si>
  <si>
    <t>28-01-2026</t>
  </si>
  <si>
    <t>15-02-2026</t>
  </si>
  <si>
    <t>03-03-2026</t>
  </si>
  <si>
    <t>11-04-2026</t>
  </si>
  <si>
    <t>22-05-2026</t>
  </si>
  <si>
    <t>07-06-2026</t>
  </si>
  <si>
    <t>19-07-2026</t>
  </si>
  <si>
    <t>23-08-2026</t>
  </si>
  <si>
    <t>05-09-2026</t>
  </si>
  <si>
    <t>14-10-2026</t>
  </si>
  <si>
    <t>17-06-2026</t>
  </si>
  <si>
    <t>25-11-2026</t>
  </si>
  <si>
    <t>08-12-2026</t>
  </si>
  <si>
    <t>18-02-2026</t>
  </si>
  <si>
    <t>16-04-2026</t>
  </si>
  <si>
    <t>21-08-2026</t>
  </si>
  <si>
    <t>20-08-2026</t>
  </si>
  <si>
    <t>27-01-2026</t>
  </si>
  <si>
    <t>01-03-2026</t>
  </si>
  <si>
    <t>14-08-2026</t>
  </si>
  <si>
    <t>14-05-2026</t>
  </si>
  <si>
    <t>09-01-2026</t>
  </si>
  <si>
    <t>29-09-2026</t>
  </si>
  <si>
    <t>03-06-2026</t>
  </si>
  <si>
    <t>11-07-2026</t>
  </si>
  <si>
    <t>07-03-2026</t>
  </si>
  <si>
    <t>13-04-2026</t>
  </si>
  <si>
    <t>24-05-2026</t>
  </si>
  <si>
    <t>02-12-2026</t>
  </si>
  <si>
    <t>09-07-2026</t>
  </si>
  <si>
    <t>US</t>
  </si>
  <si>
    <t>UK</t>
  </si>
  <si>
    <t>IN</t>
  </si>
  <si>
    <t>AU</t>
  </si>
  <si>
    <t>DE</t>
  </si>
  <si>
    <t>CA</t>
  </si>
  <si>
    <t>ES</t>
  </si>
  <si>
    <t>CN</t>
  </si>
  <si>
    <t>IT</t>
  </si>
  <si>
    <t>RU</t>
  </si>
  <si>
    <t>BR</t>
  </si>
  <si>
    <t>FR</t>
  </si>
  <si>
    <t>Laptop- Dell</t>
  </si>
  <si>
    <t>Sneakers- Nike</t>
  </si>
  <si>
    <t>Coffee Maker- Keurig</t>
  </si>
  <si>
    <t>Smartphone- Samsung</t>
  </si>
  <si>
    <t>Backpack- North Face</t>
  </si>
  <si>
    <t>Headphones- Sony</t>
  </si>
  <si>
    <t>T-Shirt- Adidas</t>
  </si>
  <si>
    <t>Blender- Ninja</t>
  </si>
  <si>
    <t>Tablet- Apple</t>
  </si>
  <si>
    <t>Hiking Boots- Timberland</t>
  </si>
  <si>
    <t>Laptop- Hp</t>
  </si>
  <si>
    <t>Sneakers- Adidas</t>
  </si>
  <si>
    <t>Coffee Maker- Nespresso</t>
  </si>
  <si>
    <t>Smartwatch- Fitbit</t>
  </si>
  <si>
    <t>Headphones- Bose</t>
  </si>
  <si>
    <t>Laptop Bag- Samsonite</t>
  </si>
  <si>
    <t>Smartwatch- Huawei</t>
  </si>
  <si>
    <t>Laptop- Asus</t>
  </si>
  <si>
    <t>Sunglasses- Oakley</t>
  </si>
  <si>
    <t>Camping Tent- Coleman</t>
  </si>
  <si>
    <t>Camera- Nikon</t>
  </si>
  <si>
    <t>Microwave- Panasonic</t>
  </si>
  <si>
    <t>Fitness Tracker- Xiaomi</t>
  </si>
  <si>
    <t>Smartphone- Google</t>
  </si>
  <si>
    <t>Sunglasses- Ray-Ban</t>
  </si>
  <si>
    <t>Blender- Vitamix</t>
  </si>
  <si>
    <t>Dress- Zara</t>
  </si>
  <si>
    <t>Toaster- Hamilton</t>
  </si>
  <si>
    <t>Fitness Tracker- Garmin</t>
  </si>
  <si>
    <t>Jeans- Levi'S</t>
  </si>
  <si>
    <t>Watch- Casio</t>
  </si>
  <si>
    <t>Grand Total</t>
  </si>
  <si>
    <t>(blank)</t>
  </si>
  <si>
    <t>Category1</t>
  </si>
  <si>
    <t>Category_Product</t>
  </si>
  <si>
    <t>Unknown</t>
  </si>
  <si>
    <t>Price</t>
  </si>
  <si>
    <t>Observation</t>
  </si>
  <si>
    <t>the "Product Name" and, fix misspellings "Electroni" insteadof "Electronics" in the "Category".</t>
  </si>
  <si>
    <t>"Product ID" &amp; "Brand Name" column.</t>
  </si>
  <si>
    <t>"Manufacturing date" &amp; "Country code" using combination of "TEXT(),LEFT() &amp; LEN()".</t>
  </si>
  <si>
    <t xml:space="preserve">I Merge "Product Name" &amp; "Brand Name" into a single column for "Product Brand" using </t>
  </si>
  <si>
    <t>"Concatenate" function.</t>
  </si>
  <si>
    <t>"IF" &amp; "AverageIF" functions. I check, IF price = '' ", AverageIF(range of products) Next,</t>
  </si>
  <si>
    <t>In Category column, I use Nested IF function for Missing values.</t>
  </si>
  <si>
    <t>Price column. Finally,It has values means, stored as it is.</t>
  </si>
  <si>
    <t>I Change the "Data Types" for all columns using "Number" group.</t>
  </si>
  <si>
    <t>I Highlight "Electronics" in Category column using, Highlight Cell Rules option.</t>
  </si>
  <si>
    <r>
      <rPr>
        <b/>
        <u val="double"/>
        <sz val="11"/>
        <color rgb="FF000000"/>
        <rFont val="Arial"/>
        <family val="2"/>
        <scheme val="minor"/>
      </rPr>
      <t>5. Conditional Column</t>
    </r>
    <r>
      <rPr>
        <sz val="10"/>
        <color rgb="FF000000"/>
        <rFont val="Arial"/>
        <family val="2"/>
        <scheme val="minor"/>
      </rPr>
      <t xml:space="preserve"> : I use Data Bars in Price column, that determined "Low to High" price. And,</t>
    </r>
  </si>
  <si>
    <r>
      <rPr>
        <b/>
        <sz val="10"/>
        <color rgb="FF000000"/>
        <rFont val="Arial"/>
        <family val="2"/>
        <scheme val="minor"/>
      </rPr>
      <t xml:space="preserve">4. </t>
    </r>
    <r>
      <rPr>
        <b/>
        <u val="double"/>
        <sz val="11"/>
        <color theme="3"/>
        <rFont val="Arial"/>
        <family val="2"/>
        <scheme val="minor"/>
      </rPr>
      <t>Handling Missing values</t>
    </r>
    <r>
      <rPr>
        <sz val="10"/>
        <color rgb="FF000000"/>
        <rFont val="Arial"/>
        <family val="2"/>
        <scheme val="minor"/>
      </rPr>
      <t xml:space="preserve"> : To calculate the missing values in "Price" column, I use combination of</t>
    </r>
  </si>
  <si>
    <r>
      <rPr>
        <b/>
        <sz val="10"/>
        <color rgb="FF000000"/>
        <rFont val="Arial"/>
        <family val="2"/>
        <scheme val="minor"/>
      </rPr>
      <t>3.</t>
    </r>
    <r>
      <rPr>
        <u val="double"/>
        <sz val="10"/>
        <color theme="3"/>
        <rFont val="Arial"/>
        <family val="2"/>
        <scheme val="minor"/>
      </rPr>
      <t xml:space="preserve"> </t>
    </r>
    <r>
      <rPr>
        <b/>
        <u val="double"/>
        <sz val="11"/>
        <color theme="3"/>
        <rFont val="Arial"/>
        <family val="2"/>
        <scheme val="minor"/>
      </rPr>
      <t>Splitting &amp; Merging Data</t>
    </r>
    <r>
      <rPr>
        <u val="double"/>
        <sz val="10"/>
        <color theme="3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scheme val="minor"/>
      </rPr>
      <t xml:space="preserve">: I split the values from "Product ID" into two separate column for, </t>
    </r>
  </si>
  <si>
    <r>
      <rPr>
        <b/>
        <sz val="10"/>
        <color rgb="FF000000"/>
        <rFont val="Arial"/>
        <family val="2"/>
        <scheme val="minor"/>
      </rPr>
      <t>2.</t>
    </r>
    <r>
      <rPr>
        <sz val="10"/>
        <color rgb="FF000000"/>
        <rFont val="Arial"/>
        <family val="2"/>
        <scheme val="minor"/>
      </rPr>
      <t xml:space="preserve"> </t>
    </r>
    <r>
      <rPr>
        <b/>
        <u val="double"/>
        <sz val="11"/>
        <color rgb="FF000000"/>
        <rFont val="Arial"/>
        <family val="2"/>
        <scheme val="minor"/>
      </rPr>
      <t>Handling Duplicate values</t>
    </r>
    <r>
      <rPr>
        <sz val="10"/>
        <color rgb="FF000000"/>
        <rFont val="Arial"/>
        <family val="2"/>
        <scheme val="minor"/>
      </rPr>
      <t xml:space="preserve"> : Removed duplicate values using "Remove Duplicate" button based on </t>
    </r>
  </si>
  <si>
    <r>
      <rPr>
        <b/>
        <sz val="10"/>
        <color rgb="FF000000"/>
        <rFont val="Arial"/>
        <family val="2"/>
        <scheme val="minor"/>
      </rPr>
      <t>1.</t>
    </r>
    <r>
      <rPr>
        <sz val="10"/>
        <color rgb="FF000000"/>
        <rFont val="Arial"/>
        <family val="2"/>
        <scheme val="minor"/>
      </rPr>
      <t xml:space="preserve"> </t>
    </r>
    <r>
      <rPr>
        <b/>
        <u val="double"/>
        <sz val="11"/>
        <color theme="3"/>
        <rFont val="Arial"/>
        <family val="2"/>
        <scheme val="minor"/>
      </rPr>
      <t>Handling Inconsistent Data</t>
    </r>
    <r>
      <rPr>
        <sz val="10"/>
        <color rgb="FF000000"/>
        <rFont val="Arial"/>
        <family val="2"/>
        <scheme val="minor"/>
      </rPr>
      <t xml:space="preserve"> : Use "Find and Replace" function to standardize the text formats in </t>
    </r>
  </si>
  <si>
    <t>IFERROR (AverageIF(range of Category).If it is not met those conditions, take overall average of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</si>
</sst>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17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sz val="10"/>
      <color theme="1"/>
      <name val="Arial"/>
    </font>
    <font>
      <sz val="11"/>
      <color theme="1"/>
      <name val="Times New Roman"/>
    </font>
    <font>
      <b/>
      <sz val="10"/>
      <color theme="1"/>
      <name val="Arial"/>
    </font>
    <font>
      <b/>
      <sz val="10"/>
      <color theme="1"/>
      <name val="Arial"/>
      <family val="2"/>
    </font>
    <font>
      <sz val="8"/>
      <name val="Arial"/>
      <scheme val="minor"/>
    </font>
    <font>
      <b/>
      <sz val="10"/>
      <color theme="0"/>
      <name val="Arial"/>
      <family val="2"/>
    </font>
    <font>
      <sz val="10"/>
      <color rgb="FF000000"/>
      <name val="Arial"/>
      <family val="2"/>
      <scheme val="minor"/>
    </font>
    <font>
      <b/>
      <sz val="11"/>
      <color theme="5" tint="-0.499984740745262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u val="double"/>
      <sz val="11"/>
      <color rgb="FF000000"/>
      <name val="Arial"/>
      <family val="2"/>
      <scheme val="minor"/>
    </font>
    <font>
      <u val="double"/>
      <sz val="10"/>
      <color theme="3"/>
      <name val="Arial"/>
      <family val="2"/>
      <scheme val="minor"/>
    </font>
    <font>
      <b/>
      <u val="double"/>
      <sz val="11"/>
      <color theme="3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theme="7"/>
        <bgColor rgb="FF4DD0E1"/>
      </patternFill>
    </fill>
    <fill>
      <patternFill patternType="solid">
        <fgColor theme="6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2" borderId="0" xfId="0" applyFont="1" applyFill="1" applyAlignment="1">
      <alignment horizontal="center"/>
    </xf>
    <xf numFmtId="0" fontId="5" fillId="3" borderId="0" xfId="0" applyFont="1" applyFill="1"/>
    <xf numFmtId="164" fontId="7" fillId="2" borderId="0" xfId="0" applyNumberFormat="1" applyFont="1" applyFill="1" applyAlignment="1">
      <alignment horizontal="center"/>
    </xf>
    <xf numFmtId="164" fontId="5" fillId="0" borderId="0" xfId="0" applyNumberFormat="1" applyFont="1"/>
    <xf numFmtId="164" fontId="5" fillId="3" borderId="0" xfId="0" applyNumberFormat="1" applyFont="1" applyFill="1"/>
    <xf numFmtId="164" fontId="0" fillId="0" borderId="0" xfId="0" applyNumberFormat="1"/>
    <xf numFmtId="1" fontId="7" fillId="2" borderId="0" xfId="0" applyNumberFormat="1" applyFont="1" applyFill="1" applyAlignment="1">
      <alignment horizontal="center"/>
    </xf>
    <xf numFmtId="1" fontId="5" fillId="0" borderId="0" xfId="0" applyNumberFormat="1" applyFont="1"/>
    <xf numFmtId="1" fontId="5" fillId="3" borderId="0" xfId="0" applyNumberFormat="1" applyFont="1" applyFill="1"/>
    <xf numFmtId="1" fontId="0" fillId="0" borderId="0" xfId="0" applyNumberFormat="1"/>
    <xf numFmtId="14" fontId="7" fillId="2" borderId="0" xfId="0" applyNumberFormat="1" applyFont="1" applyFill="1" applyAlignment="1">
      <alignment horizontal="center"/>
    </xf>
    <xf numFmtId="14" fontId="5" fillId="0" borderId="0" xfId="0" applyNumberFormat="1" applyFont="1"/>
    <xf numFmtId="14" fontId="5" fillId="3" borderId="0" xfId="0" applyNumberFormat="1" applyFont="1" applyFill="1"/>
    <xf numFmtId="14" fontId="0" fillId="0" borderId="0" xfId="0" applyNumberFormat="1"/>
    <xf numFmtId="0" fontId="8" fillId="2" borderId="0" xfId="0" applyFont="1" applyFill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4" fontId="10" fillId="4" borderId="0" xfId="0" applyNumberFormat="1" applyFont="1" applyFill="1" applyAlignment="1">
      <alignment horizontal="center"/>
    </xf>
    <xf numFmtId="0" fontId="12" fillId="0" borderId="0" xfId="0" applyFont="1"/>
    <xf numFmtId="0" fontId="0" fillId="0" borderId="1" xfId="0" applyBorder="1"/>
    <xf numFmtId="14" fontId="12" fillId="0" borderId="0" xfId="0" applyNumberFormat="1" applyFont="1"/>
    <xf numFmtId="14" fontId="0" fillId="0" borderId="1" xfId="0" applyNumberFormat="1" applyBorder="1"/>
    <xf numFmtId="164" fontId="12" fillId="0" borderId="0" xfId="0" applyNumberFormat="1" applyFont="1"/>
    <xf numFmtId="164" fontId="0" fillId="0" borderId="1" xfId="0" applyNumberFormat="1" applyBorder="1"/>
    <xf numFmtId="1" fontId="12" fillId="0" borderId="0" xfId="0" applyNumberFormat="1" applyFont="1"/>
    <xf numFmtId="1" fontId="0" fillId="0" borderId="1" xfId="0" applyNumberFormat="1" applyBorder="1"/>
    <xf numFmtId="0" fontId="12" fillId="5" borderId="2" xfId="0" applyFont="1" applyFill="1" applyBorder="1" applyAlignment="1">
      <alignment horizontal="center"/>
    </xf>
    <xf numFmtId="0" fontId="12" fillId="5" borderId="3" xfId="0" applyFont="1" applyFill="1" applyBorder="1" applyAlignment="1">
      <alignment horizontal="center"/>
    </xf>
    <xf numFmtId="0" fontId="12" fillId="5" borderId="4" xfId="0" applyFont="1" applyFill="1" applyBorder="1" applyAlignment="1">
      <alignment horizontal="center"/>
    </xf>
    <xf numFmtId="0" fontId="11" fillId="0" borderId="2" xfId="0" applyFont="1" applyBorder="1"/>
    <xf numFmtId="0" fontId="11" fillId="0" borderId="3" xfId="0" applyFont="1" applyBorder="1"/>
    <xf numFmtId="0" fontId="11" fillId="0" borderId="4" xfId="0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</cellXfs>
  <cellStyles count="1">
    <cellStyle name="Normal" xfId="0" builtinId="0"/>
  </cellStyles>
  <dxfs count="42">
    <dxf>
      <fill>
        <patternFill>
          <bgColor theme="9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7" tint="-0.24994659260841701"/>
        </patternFill>
      </fill>
      <border>
        <vertical/>
        <horizontal/>
      </border>
    </dxf>
    <dxf>
      <font>
        <color rgb="FF006100"/>
      </font>
      <fill>
        <patternFill>
          <bgColor rgb="FFC6EFCE"/>
        </patternFill>
      </fill>
    </dxf>
    <dxf>
      <fill>
        <patternFill patternType="solid">
          <fgColor auto="1"/>
          <bgColor rgb="FFCCFF99"/>
        </patternFill>
      </fill>
    </dxf>
    <dxf>
      <fill>
        <gradientFill degree="90">
          <stop position="0">
            <color theme="0"/>
          </stop>
          <stop position="1">
            <color theme="9" tint="0.40000610370189521"/>
          </stop>
        </gradientFill>
      </fill>
    </dxf>
    <dxf>
      <fill>
        <patternFill>
          <bgColor theme="9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7" tint="-0.24994659260841701"/>
        </patternFill>
      </fill>
      <border>
        <vertical/>
        <horizontal/>
      </border>
    </dxf>
    <dxf>
      <font>
        <color rgb="FF006100"/>
      </font>
      <fill>
        <patternFill>
          <bgColor rgb="FFC6EFCE"/>
        </patternFill>
      </fill>
    </dxf>
    <dxf>
      <fill>
        <patternFill patternType="solid">
          <fgColor auto="1"/>
          <bgColor rgb="FFCCFF99"/>
        </patternFill>
      </fill>
    </dxf>
    <dxf>
      <fill>
        <gradientFill degree="90">
          <stop position="0">
            <color theme="0"/>
          </stop>
          <stop position="1">
            <color theme="9" tint="0.40000610370189521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&quot;$&quot;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" formatCode="0"/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4" formatCode="&quot;$&quot;#,##0"/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4" formatCode="&quot;$&quot;#,##0"/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9" formatCode="dd/mm/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9" formatCode="dd/mm/yy"/>
      <fill>
        <patternFill patternType="solid">
          <fgColor rgb="FFE0F7FA"/>
          <bgColor rgb="FFE0F7FA"/>
        </patternFill>
      </fill>
    </dxf>
    <dxf>
      <font>
        <color theme="0"/>
      </font>
      <numFmt numFmtId="19" formatCode="dd/mm/yy"/>
    </dxf>
    <dxf>
      <font>
        <b/>
        <color theme="1"/>
        <family val="2"/>
      </font>
      <numFmt numFmtId="164" formatCode="&quot;$&quot;#,##0"/>
      <fill>
        <patternFill patternType="solid">
          <fgColor rgb="FF4DD0E1"/>
          <bgColor theme="7"/>
        </patternFill>
      </fill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4DD0E1"/>
          <bgColor rgb="FF4DD0E1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CC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12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inaya S" refreshedDate="46034.242181365742" createdVersion="8" refreshedVersion="8" minRefreshableVersion="3" recordCount="31" xr:uid="{585DB75E-DAEB-4A4F-9B39-ADA222E91E34}">
  <cacheSource type="worksheet">
    <worksheetSource name="Table1"/>
  </cacheSource>
  <cacheFields count="11">
    <cacheField name="Product ID" numFmtId="14">
      <sharedItems/>
    </cacheField>
    <cacheField name="Manufacturing Date" numFmtId="14">
      <sharedItems/>
    </cacheField>
    <cacheField name="Country Code" numFmtId="0">
      <sharedItems/>
    </cacheField>
    <cacheField name="Product Name" numFmtId="0">
      <sharedItems count="21">
        <s v="Sneakers"/>
        <s v="Fitness Tracker"/>
        <s v="Jeans"/>
        <s v="Sunglasses"/>
        <s v="Dress"/>
        <s v="Microwave"/>
        <s v="Blender"/>
        <s v="Toaster"/>
        <s v="Smartwatch"/>
        <s v="Laptop Bag"/>
        <s v="Smartphone"/>
        <s v="Coffee Maker"/>
        <s v="Headphones"/>
        <s v="Watch"/>
        <s v="Laptop"/>
        <s v="Camera"/>
        <s v="Tablet"/>
        <s v="Hiking Boots"/>
        <s v="T-Shirt"/>
        <s v="Camping Tent"/>
        <s v="Backpack"/>
      </sharedItems>
    </cacheField>
    <cacheField name="Brand Name" numFmtId="0">
      <sharedItems count="30">
        <s v="Adidas"/>
        <s v="Xiaomi"/>
        <s v="Levi'S"/>
        <s v="Ray-Ban"/>
        <s v="Zara"/>
        <s v="Panasonic"/>
        <s v="Vitamix"/>
        <s v="Hamilton"/>
        <s v="Fitbit"/>
        <s v="Samsonite"/>
        <s v="Garmin"/>
        <s v="Google"/>
        <s v="Huawei"/>
        <s v="Nespresso"/>
        <s v="Bose"/>
        <s v="Casio"/>
        <s v="Hp"/>
        <s v="Asus"/>
        <s v="Nikon"/>
        <s v="Oakley"/>
        <s v="Apple"/>
        <s v="Sony"/>
        <s v="Timberland"/>
        <s v="Ninja"/>
        <s v="Keurig"/>
        <s v="Samsung"/>
        <s v="Coleman"/>
        <s v="Nike"/>
        <s v="North Face"/>
        <s v="Dell"/>
      </sharedItems>
    </cacheField>
    <cacheField name="Product Brand" numFmtId="0">
      <sharedItems count="31">
        <s v="Sneakers- Adidas"/>
        <s v="Fitness Tracker- Xiaomi"/>
        <s v="Jeans- Levi'S"/>
        <s v="Sunglasses- Ray-Ban"/>
        <s v="Dress- Zara"/>
        <s v="Microwave- Panasonic"/>
        <s v="Blender- Vitamix"/>
        <s v="Toaster- Hamilton"/>
        <s v="Smartwatch- Fitbit"/>
        <s v="Laptop Bag- Samsonite"/>
        <s v="Fitness Tracker- Garmin"/>
        <s v="Smartphone- Google"/>
        <s v="Smartwatch- Huawei"/>
        <s v="Coffee Maker- Nespresso"/>
        <s v="Headphones- Bose"/>
        <s v="Watch- Casio"/>
        <s v="Laptop- Hp"/>
        <s v="Laptop- Asus"/>
        <s v="Camera- Nikon"/>
        <s v="Sunglasses- Oakley"/>
        <s v="Tablet- Apple"/>
        <s v="Headphones- Sony"/>
        <s v="Hiking Boots- Timberland"/>
        <s v="T-Shirt- Adidas"/>
        <s v="Blender- Ninja"/>
        <s v="Coffee Maker- Keurig"/>
        <s v="Smartphone- Samsung"/>
        <s v="Camping Tent- Coleman"/>
        <s v="Sneakers- Nike"/>
        <s v="Backpack- North Face"/>
        <s v="Laptop- Dell"/>
      </sharedItems>
    </cacheField>
    <cacheField name="Price ($)" numFmtId="164">
      <sharedItems containsString="0" containsBlank="1" containsNumber="1" containsInteger="1" minValue="30" maxValue="1000"/>
    </cacheField>
    <cacheField name="Price2" numFmtId="164">
      <sharedItems containsSemiMixedTypes="0" containsString="0" containsNumber="1" containsInteger="1" minValue="30" maxValue="1000"/>
    </cacheField>
    <cacheField name="Quantity" numFmtId="1">
      <sharedItems containsSemiMixedTypes="0" containsString="0" containsNumber="1" containsInteger="1" minValue="5" maxValue="50"/>
    </cacheField>
    <cacheField name="Category" numFmtId="0">
      <sharedItems containsBlank="1" count="6">
        <m/>
        <s v="Fashion"/>
        <s v="Kitchen"/>
        <s v="Electronics"/>
        <s v="Accessories"/>
        <s v="Outdoor"/>
      </sharedItems>
    </cacheField>
    <cacheField name="Column1" numFmtId="0">
      <sharedItems containsMixedTypes="1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s v="25-NOV-AU"/>
    <s v="25-11-2026"/>
    <s v="AU"/>
    <x v="0"/>
    <x v="0"/>
    <x v="0"/>
    <n v="90"/>
    <n v="90"/>
    <n v="40"/>
    <x v="0"/>
    <n v="0"/>
  </r>
  <r>
    <s v="19-JUL-BR"/>
    <s v="19-07-2026"/>
    <s v="BR"/>
    <x v="1"/>
    <x v="1"/>
    <x v="1"/>
    <n v="150"/>
    <n v="150"/>
    <n v="30"/>
    <x v="0"/>
    <n v="0"/>
  </r>
  <r>
    <s v="02-DEC-CA"/>
    <s v="02-12-2026"/>
    <s v="CA"/>
    <x v="2"/>
    <x v="2"/>
    <x v="2"/>
    <n v="50"/>
    <n v="50"/>
    <n v="50"/>
    <x v="1"/>
    <s v="Fashion"/>
  </r>
  <r>
    <s v="03-JUN-CA"/>
    <s v="03-06-2026"/>
    <s v="CA"/>
    <x v="3"/>
    <x v="3"/>
    <x v="3"/>
    <m/>
    <n v="150"/>
    <n v="25"/>
    <x v="1"/>
    <s v="Fashion"/>
  </r>
  <r>
    <s v="07-MAR-CA"/>
    <s v="07-03-2026"/>
    <s v="CA"/>
    <x v="4"/>
    <x v="4"/>
    <x v="4"/>
    <n v="60"/>
    <n v="60"/>
    <n v="30"/>
    <x v="1"/>
    <s v="Fashion"/>
  </r>
  <r>
    <s v="09-JAN-CA"/>
    <s v="09-01-2026"/>
    <s v="CA"/>
    <x v="5"/>
    <x v="5"/>
    <x v="5"/>
    <n v="80"/>
    <n v="80"/>
    <n v="20"/>
    <x v="2"/>
    <s v="Kitchen"/>
  </r>
  <r>
    <s v="11-JUL-CA"/>
    <s v="11-07-2026"/>
    <s v="CA"/>
    <x v="6"/>
    <x v="6"/>
    <x v="6"/>
    <n v="400"/>
    <n v="400"/>
    <n v="40"/>
    <x v="2"/>
    <s v="Kitchen"/>
  </r>
  <r>
    <s v="13-APR-CA"/>
    <s v="13-04-2026"/>
    <s v="CA"/>
    <x v="7"/>
    <x v="7"/>
    <x v="7"/>
    <n v="40"/>
    <n v="40"/>
    <n v="10"/>
    <x v="2"/>
    <s v="Kitchen"/>
  </r>
  <r>
    <s v="18-FEB-CA"/>
    <s v="18-02-2026"/>
    <s v="CA"/>
    <x v="8"/>
    <x v="8"/>
    <x v="8"/>
    <n v="150"/>
    <n v="150"/>
    <n v="15"/>
    <x v="3"/>
    <s v="Electronics"/>
  </r>
  <r>
    <s v="21-AUG-CA"/>
    <s v="21-08-2026"/>
    <s v="CA"/>
    <x v="9"/>
    <x v="9"/>
    <x v="9"/>
    <n v="50"/>
    <n v="50"/>
    <n v="35"/>
    <x v="4"/>
    <s v="Accessories"/>
  </r>
  <r>
    <s v="24-MAY-CA"/>
    <s v="24-05-2026"/>
    <s v="CA"/>
    <x v="1"/>
    <x v="10"/>
    <x v="10"/>
    <n v="130"/>
    <n v="130"/>
    <n v="5"/>
    <x v="3"/>
    <s v="Electronics"/>
  </r>
  <r>
    <s v="29-SEP-CA"/>
    <s v="29-09-2026"/>
    <s v="CA"/>
    <x v="10"/>
    <x v="11"/>
    <x v="11"/>
    <n v="800"/>
    <n v="800"/>
    <n v="45"/>
    <x v="3"/>
    <s v="Electronics"/>
  </r>
  <r>
    <s v="20-AUG-CN"/>
    <s v="20-08-2026"/>
    <s v="CN"/>
    <x v="8"/>
    <x v="12"/>
    <x v="12"/>
    <n v="160"/>
    <n v="160"/>
    <n v="15"/>
    <x v="3"/>
    <s v="Electronics"/>
  </r>
  <r>
    <s v="08-DEC-DE"/>
    <s v="08-12-2026"/>
    <s v="DE"/>
    <x v="11"/>
    <x v="13"/>
    <x v="13"/>
    <n v="120"/>
    <n v="120"/>
    <n v="35"/>
    <x v="0"/>
    <n v="0"/>
  </r>
  <r>
    <s v="16-APR-ES"/>
    <s v="16-04-2026"/>
    <s v="ES"/>
    <x v="12"/>
    <x v="14"/>
    <x v="14"/>
    <n v="250"/>
    <n v="250"/>
    <n v="20"/>
    <x v="3"/>
    <s v="Electronics"/>
  </r>
  <r>
    <s v="09-JUL-FR"/>
    <s v="09-07-2026"/>
    <s v="FR"/>
    <x v="13"/>
    <x v="15"/>
    <x v="15"/>
    <n v="100"/>
    <n v="100"/>
    <n v="20"/>
    <x v="4"/>
    <s v="Accessories"/>
  </r>
  <r>
    <s v="17-JUN-IN"/>
    <s v="17-06-2026"/>
    <s v="IN"/>
    <x v="14"/>
    <x v="16"/>
    <x v="16"/>
    <n v="950"/>
    <n v="950"/>
    <n v="25"/>
    <x v="3"/>
    <s v="Electronics"/>
  </r>
  <r>
    <s v="27-JAN-IT"/>
    <s v="27-01-2026"/>
    <s v="IT"/>
    <x v="14"/>
    <x v="17"/>
    <x v="17"/>
    <n v="980"/>
    <n v="980"/>
    <n v="10"/>
    <x v="3"/>
    <s v="Electronics"/>
  </r>
  <r>
    <s v="14-MAY-RU"/>
    <s v="14-05-2026"/>
    <s v="RU"/>
    <x v="15"/>
    <x v="18"/>
    <x v="18"/>
    <n v="700"/>
    <n v="700"/>
    <n v="50"/>
    <x v="3"/>
    <s v="Electronics"/>
  </r>
  <r>
    <s v="01-MAR-UK"/>
    <s v="01-03-2026"/>
    <s v="UK"/>
    <x v="3"/>
    <x v="19"/>
    <x v="19"/>
    <n v="150"/>
    <n v="150"/>
    <n v="15"/>
    <x v="1"/>
    <s v="Fashion"/>
  </r>
  <r>
    <s v="05-SEP-UK"/>
    <s v="05-09-2026"/>
    <s v="UK"/>
    <x v="16"/>
    <x v="20"/>
    <x v="20"/>
    <n v="500"/>
    <n v="500"/>
    <n v="50"/>
    <x v="3"/>
    <s v="Electronics"/>
  </r>
  <r>
    <s v="07-JUN-UK"/>
    <s v="07-06-2026"/>
    <s v="UK"/>
    <x v="12"/>
    <x v="21"/>
    <x v="21"/>
    <m/>
    <n v="250"/>
    <n v="45"/>
    <x v="3"/>
    <s v="Electronics"/>
  </r>
  <r>
    <s v="14-OCT-UK"/>
    <s v="14-10-2026"/>
    <s v="UK"/>
    <x v="17"/>
    <x v="22"/>
    <x v="22"/>
    <n v="130"/>
    <n v="130"/>
    <n v="10"/>
    <x v="5"/>
    <s v="Outdoor"/>
  </r>
  <r>
    <s v="19-JUL-UK"/>
    <s v="19-07-2026"/>
    <s v="UK"/>
    <x v="18"/>
    <x v="0"/>
    <x v="23"/>
    <n v="30"/>
    <n v="30"/>
    <n v="5"/>
    <x v="1"/>
    <s v="Fashion"/>
  </r>
  <r>
    <s v="23-AUG-UK"/>
    <s v="23-08-2026"/>
    <s v="UK"/>
    <x v="6"/>
    <x v="23"/>
    <x v="24"/>
    <n v="90"/>
    <n v="90"/>
    <n v="35"/>
    <x v="2"/>
    <s v="Kitchen"/>
  </r>
  <r>
    <s v="03-MAR-US"/>
    <s v="03-03-2026"/>
    <s v="US"/>
    <x v="11"/>
    <x v="24"/>
    <x v="25"/>
    <n v="130"/>
    <n v="130"/>
    <n v="40"/>
    <x v="2"/>
    <s v="Kitchen"/>
  </r>
  <r>
    <s v="11-APR-US"/>
    <s v="11-04-2026"/>
    <s v="US"/>
    <x v="10"/>
    <x v="25"/>
    <x v="26"/>
    <n v="900"/>
    <n v="900"/>
    <n v="25"/>
    <x v="3"/>
    <s v="Electronics"/>
  </r>
  <r>
    <s v="14-AUG-US"/>
    <s v="14-08-2026"/>
    <s v="US"/>
    <x v="19"/>
    <x v="26"/>
    <x v="27"/>
    <m/>
    <n v="130"/>
    <n v="10"/>
    <x v="5"/>
    <s v="Outdoor"/>
  </r>
  <r>
    <s v="15-FEB-US"/>
    <s v="15-02-2026"/>
    <s v="US"/>
    <x v="0"/>
    <x v="27"/>
    <x v="28"/>
    <n v="80"/>
    <n v="80"/>
    <n v="15"/>
    <x v="1"/>
    <s v="Fashion"/>
  </r>
  <r>
    <s v="22-MAY-US"/>
    <s v="22-05-2026"/>
    <s v="US"/>
    <x v="20"/>
    <x v="28"/>
    <x v="29"/>
    <n v="70"/>
    <n v="70"/>
    <n v="20"/>
    <x v="0"/>
    <n v="0"/>
  </r>
  <r>
    <s v="28-JAN-US"/>
    <s v="28-01-2026"/>
    <s v="US"/>
    <x v="14"/>
    <x v="29"/>
    <x v="30"/>
    <n v="1000"/>
    <n v="1000"/>
    <n v="30"/>
    <x v="3"/>
    <s v="Electronic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509F5D-A3CD-4157-8127-50E3815E28AB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ategory_Product">
  <location ref="M1:M32" firstHeaderRow="1" firstDataRow="1" firstDataCol="1"/>
  <pivotFields count="11">
    <pivotField showAll="0"/>
    <pivotField showAll="0"/>
    <pivotField showAll="0"/>
    <pivotField axis="axisRow" showAll="0">
      <items count="22">
        <item x="20"/>
        <item x="6"/>
        <item x="15"/>
        <item x="19"/>
        <item x="11"/>
        <item x="4"/>
        <item x="1"/>
        <item x="12"/>
        <item x="17"/>
        <item x="2"/>
        <item x="14"/>
        <item x="9"/>
        <item x="5"/>
        <item x="10"/>
        <item x="8"/>
        <item x="0"/>
        <item x="3"/>
        <item x="16"/>
        <item x="7"/>
        <item x="18"/>
        <item x="13"/>
        <item t="default"/>
      </items>
    </pivotField>
    <pivotField showAll="0"/>
    <pivotField showAll="0"/>
    <pivotField showAll="0"/>
    <pivotField numFmtId="164" showAll="0"/>
    <pivotField numFmtId="1" showAll="0"/>
    <pivotField axis="axisRow" showAll="0">
      <items count="7">
        <item x="4"/>
        <item x="3"/>
        <item x="1"/>
        <item x="2"/>
        <item x="5"/>
        <item x="0"/>
        <item t="default"/>
      </items>
    </pivotField>
    <pivotField showAll="0"/>
  </pivotFields>
  <rowFields count="2">
    <field x="9"/>
    <field x="3"/>
  </rowFields>
  <rowItems count="31">
    <i>
      <x/>
    </i>
    <i r="1">
      <x v="11"/>
    </i>
    <i r="1">
      <x v="20"/>
    </i>
    <i>
      <x v="1"/>
    </i>
    <i r="1">
      <x v="2"/>
    </i>
    <i r="1">
      <x v="6"/>
    </i>
    <i r="1">
      <x v="7"/>
    </i>
    <i r="1">
      <x v="10"/>
    </i>
    <i r="1">
      <x v="13"/>
    </i>
    <i r="1">
      <x v="14"/>
    </i>
    <i r="1">
      <x v="17"/>
    </i>
    <i>
      <x v="2"/>
    </i>
    <i r="1">
      <x v="5"/>
    </i>
    <i r="1">
      <x v="9"/>
    </i>
    <i r="1">
      <x v="15"/>
    </i>
    <i r="1">
      <x v="16"/>
    </i>
    <i r="1">
      <x v="19"/>
    </i>
    <i>
      <x v="3"/>
    </i>
    <i r="1">
      <x v="1"/>
    </i>
    <i r="1">
      <x v="4"/>
    </i>
    <i r="1">
      <x v="12"/>
    </i>
    <i r="1">
      <x v="18"/>
    </i>
    <i>
      <x v="4"/>
    </i>
    <i r="1">
      <x v="3"/>
    </i>
    <i r="1">
      <x v="8"/>
    </i>
    <i>
      <x v="5"/>
    </i>
    <i r="1">
      <x/>
    </i>
    <i r="1">
      <x v="4"/>
    </i>
    <i r="1">
      <x v="6"/>
    </i>
    <i r="1">
      <x v="15"/>
    </i>
    <i t="grand">
      <x/>
    </i>
  </rowItems>
  <colItems count="1">
    <i/>
  </colItems>
  <formats count="2">
    <format dxfId="33">
      <pivotArea field="9" type="button" dataOnly="0" labelOnly="1" outline="0" axis="axisRow" fieldPosition="0"/>
    </format>
    <format dxfId="32">
      <pivotArea field="9" type="button" dataOnly="0" labelOnly="1" outline="0" axis="axisRow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439A880-7325-4B94-85CE-7D22F845DFC1}" name="Table3" displayName="Table3" ref="A1:F35" totalsRowShown="0" headerRowDxfId="41" dataDxfId="40">
  <autoFilter ref="A1:F35" xr:uid="{C439A880-7325-4B94-85CE-7D22F845DFC1}"/>
  <tableColumns count="6">
    <tableColumn id="1" xr3:uid="{3182C953-737C-4A65-9F57-BDB52B0CFF69}" name="Product ID" dataDxfId="39"/>
    <tableColumn id="2" xr3:uid="{71704397-32C1-44E0-9EB7-3A6962AEAD1F}" name="Product Name" dataDxfId="38"/>
    <tableColumn id="3" xr3:uid="{945763A3-75C2-4095-A3F8-0D0C344EDAB8}" name="Brand Name" dataDxfId="37"/>
    <tableColumn id="4" xr3:uid="{EE95FA70-C5AD-4AD4-9599-907C6262D0E3}" name="Price ($)" dataDxfId="36"/>
    <tableColumn id="5" xr3:uid="{7D9EC19D-7092-4388-B480-39AEA293C6CF}" name="Quantity" dataDxfId="35"/>
    <tableColumn id="6" xr3:uid="{505A165E-39DC-46AF-8A3C-19597F1ACF0D}" name="Category" dataDxfId="3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B44DCE1-FBCD-4C18-B163-FF0F625276CA}" name="Table1" displayName="Table1" ref="A1:K32" totalsRowShown="0">
  <autoFilter ref="A1:K32" xr:uid="{FB44DCE1-FBCD-4C18-B163-FF0F625276CA}"/>
  <sortState xmlns:xlrd2="http://schemas.microsoft.com/office/spreadsheetml/2017/richdata2" ref="A2:J32">
    <sortCondition ref="C1:C32"/>
  </sortState>
  <tableColumns count="11">
    <tableColumn id="1" xr3:uid="{AEA2F21A-42E3-452E-B8BC-F1EBBE41CA07}" name="Product ID" dataDxfId="31"/>
    <tableColumn id="2" xr3:uid="{AFC6C5ED-0FDF-4F0D-9F5B-6C24AFFC9087}" name="Manufacturing Date" dataDxfId="30">
      <calculatedColumnFormula>TEXT(LEFT(A2,LEN(A2)-3),"DD-MM-YYYY")</calculatedColumnFormula>
    </tableColumn>
    <tableColumn id="3" xr3:uid="{9B3544B4-46AE-4002-9355-1D3319B5A986}" name="Country Code" dataDxfId="29">
      <calculatedColumnFormula>RIGHT(A2,2)</calculatedColumnFormula>
    </tableColumn>
    <tableColumn id="4" xr3:uid="{D729D748-BA39-42DA-BDBF-0A6185D42B5C}" name="Product Name" dataDxfId="28"/>
    <tableColumn id="5" xr3:uid="{A0DF530F-3B03-4A01-8511-F675E4FF34DD}" name="Brand Name" dataDxfId="27"/>
    <tableColumn id="6" xr3:uid="{10DBFE8D-9817-4F32-A4CC-B1C5524052C4}" name="Product Brand" dataDxfId="26">
      <calculatedColumnFormula>CONCATENATE(D2,"- ",E2)</calculatedColumnFormula>
    </tableColumn>
    <tableColumn id="7" xr3:uid="{9FAF337C-E96D-4797-B2EE-77CEA9FE5673}" name="Price ($)" dataDxfId="25"/>
    <tableColumn id="11" xr3:uid="{DACAB672-6EA8-4A54-A98A-D53C1BF61248}" name="Price2" dataDxfId="24">
      <calculatedColumnFormula>IF(ISBLANK(G2),IFERROR(AVERAGEIF($D$2:$D$32,D2,$G$2:$G$32),IFERROR(AVERAGEIF($J$2:$J$32,J2,$G$2:$G$32),AVERAGE($G$2:$G$32))),G2)</calculatedColumnFormula>
    </tableColumn>
    <tableColumn id="9" xr3:uid="{49741D46-8816-49B0-B216-44E0A8AD653F}" name="Quantity" dataDxfId="23"/>
    <tableColumn id="10" xr3:uid="{41F1CD96-802C-45CE-8F7C-F3E0A411CEBB}" name="Category" dataDxfId="22"/>
    <tableColumn id="13" xr3:uid="{D72721E0-CC26-40E1-B103-F5F5D29FAEC4}" name="Category1">
      <calculatedColumnFormula>IF(D2="Sneakers","Fashion",IF(D2="Fitness Tracker","Electronics",IF(D2="Coffee Maker","Kitchen",IF(D2="BackPack","Unknown",J2))))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715E57A-6B70-43CE-BD06-857BDCBF7907}" name="Table2" displayName="Table2" ref="A1:F32" totalsRowShown="0">
  <autoFilter ref="A1:F32" xr:uid="{4715E57A-6B70-43CE-BD06-857BDCBF7907}"/>
  <tableColumns count="6">
    <tableColumn id="1" xr3:uid="{F3CA7DF8-C6B3-491B-983C-9DD52E69E0C2}" name="Manufacturing Date" dataDxfId="21"/>
    <tableColumn id="2" xr3:uid="{36879C08-18C6-44CE-B66E-160B6BD755B7}" name="Country Code" dataDxfId="20"/>
    <tableColumn id="3" xr3:uid="{37173457-5155-410C-BAFD-ACE7AF53AB5F}" name="Product Brand" dataDxfId="19"/>
    <tableColumn id="4" xr3:uid="{66E887DF-960E-4EF2-941B-C9683D0E7BC0}" name="Price" dataDxfId="18"/>
    <tableColumn id="5" xr3:uid="{4C695F76-C87D-421C-BEB8-74DBCB1DE885}" name="Quantity" dataDxfId="17"/>
    <tableColumn id="6" xr3:uid="{B93F1C20-A42A-4690-82AC-E05C6C22FF19}" name="Category" dataDxfId="16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outlinePr summaryBelow="0" summaryRight="0"/>
  </sheetPr>
  <dimension ref="A1:K1000"/>
  <sheetViews>
    <sheetView showGridLines="0" topLeftCell="A3" workbookViewId="0">
      <selection activeCell="F3" sqref="F3"/>
    </sheetView>
  </sheetViews>
  <sheetFormatPr defaultColWidth="12.6640625" defaultRowHeight="15" customHeight="1" x14ac:dyDescent="0.25"/>
  <cols>
    <col min="1" max="1" width="12.6640625" customWidth="1"/>
    <col min="2" max="2" width="7.44140625" customWidth="1"/>
    <col min="3" max="6" width="12.6640625" customWidth="1"/>
  </cols>
  <sheetData>
    <row r="1" spans="1:11" ht="15.75" customHeight="1" x14ac:dyDescent="0.25">
      <c r="A1" s="1" t="s">
        <v>0</v>
      </c>
    </row>
    <row r="2" spans="1:11" ht="15.75" customHeight="1" x14ac:dyDescent="0.25"/>
    <row r="3" spans="1:11" ht="15.75" customHeight="1" x14ac:dyDescent="0.3">
      <c r="B3" s="2" t="s">
        <v>1</v>
      </c>
    </row>
    <row r="4" spans="1:11" ht="15.75" customHeight="1" x14ac:dyDescent="0.3">
      <c r="C4" s="3" t="s">
        <v>2</v>
      </c>
    </row>
    <row r="5" spans="1:11" ht="15.75" customHeight="1" x14ac:dyDescent="0.3">
      <c r="B5" s="4"/>
      <c r="C5" s="3" t="s">
        <v>3</v>
      </c>
    </row>
    <row r="6" spans="1:11" ht="15.75" customHeight="1" x14ac:dyDescent="0.3">
      <c r="B6" s="4"/>
    </row>
    <row r="7" spans="1:11" ht="15.75" customHeight="1" x14ac:dyDescent="0.3">
      <c r="B7" s="2" t="s">
        <v>4</v>
      </c>
    </row>
    <row r="8" spans="1:11" ht="15.75" customHeight="1" x14ac:dyDescent="0.3">
      <c r="C8" s="3" t="s">
        <v>5</v>
      </c>
    </row>
    <row r="9" spans="1:11" ht="15.75" customHeight="1" x14ac:dyDescent="0.3">
      <c r="C9" s="3" t="s">
        <v>6</v>
      </c>
    </row>
    <row r="10" spans="1:11" ht="15.75" customHeight="1" x14ac:dyDescent="0.3">
      <c r="C10" s="3" t="s">
        <v>7</v>
      </c>
    </row>
    <row r="11" spans="1:11" ht="15.75" customHeight="1" x14ac:dyDescent="0.3">
      <c r="B11" s="4"/>
    </row>
    <row r="12" spans="1:11" ht="15.75" customHeight="1" x14ac:dyDescent="0.3">
      <c r="B12" s="2" t="s">
        <v>8</v>
      </c>
    </row>
    <row r="13" spans="1:11" ht="15.75" customHeight="1" x14ac:dyDescent="0.3">
      <c r="B13" s="2"/>
      <c r="C13" s="3" t="s">
        <v>9</v>
      </c>
    </row>
    <row r="14" spans="1:11" ht="15.75" customHeight="1" x14ac:dyDescent="0.25"/>
    <row r="15" spans="1:11" ht="15.75" customHeight="1" x14ac:dyDescent="0.3">
      <c r="B15" s="2" t="s">
        <v>10</v>
      </c>
      <c r="C15" s="5"/>
      <c r="D15" s="5"/>
      <c r="E15" s="5"/>
      <c r="F15" s="5"/>
      <c r="G15" s="5"/>
      <c r="H15" s="5"/>
      <c r="I15" s="5"/>
      <c r="J15" s="5"/>
      <c r="K15" s="5"/>
    </row>
    <row r="16" spans="1:11" ht="15.75" customHeight="1" x14ac:dyDescent="0.3">
      <c r="B16" s="5"/>
      <c r="C16" s="3" t="s">
        <v>11</v>
      </c>
      <c r="D16" s="5"/>
      <c r="E16" s="5"/>
      <c r="F16" s="5"/>
      <c r="G16" s="5"/>
      <c r="H16" s="5"/>
      <c r="I16" s="5"/>
      <c r="J16" s="5"/>
      <c r="K16" s="5"/>
    </row>
    <row r="17" spans="2:11" ht="15.75" customHeight="1" x14ac:dyDescent="0.3">
      <c r="B17" s="5"/>
      <c r="C17" s="3" t="s">
        <v>12</v>
      </c>
      <c r="D17" s="5"/>
      <c r="E17" s="5"/>
      <c r="F17" s="5"/>
      <c r="G17" s="5"/>
      <c r="H17" s="5"/>
      <c r="I17" s="5"/>
      <c r="J17" s="5"/>
      <c r="K17" s="5"/>
    </row>
    <row r="18" spans="2:11" ht="15.75" customHeight="1" x14ac:dyDescent="0.25">
      <c r="B18" s="5"/>
      <c r="C18" s="5"/>
      <c r="D18" s="5"/>
      <c r="E18" s="5"/>
      <c r="F18" s="5"/>
      <c r="G18" s="5"/>
      <c r="H18" s="5"/>
      <c r="I18" s="5"/>
      <c r="J18" s="5"/>
      <c r="K18" s="5"/>
    </row>
    <row r="19" spans="2:11" ht="15.75" customHeight="1" x14ac:dyDescent="0.3">
      <c r="B19" s="2" t="s">
        <v>13</v>
      </c>
      <c r="C19" s="5"/>
      <c r="D19" s="5"/>
      <c r="E19" s="5"/>
      <c r="F19" s="5"/>
      <c r="G19" s="5"/>
      <c r="H19" s="5"/>
      <c r="I19" s="5"/>
      <c r="J19" s="5"/>
      <c r="K19" s="5"/>
    </row>
    <row r="20" spans="2:11" ht="15.75" customHeight="1" x14ac:dyDescent="0.3">
      <c r="B20" s="5"/>
      <c r="C20" s="3" t="s">
        <v>14</v>
      </c>
      <c r="D20" s="5"/>
      <c r="E20" s="5"/>
      <c r="F20" s="5"/>
      <c r="G20" s="5"/>
      <c r="H20" s="5"/>
      <c r="I20" s="5"/>
      <c r="J20" s="5"/>
      <c r="K20" s="5"/>
    </row>
    <row r="21" spans="2:11" ht="15.75" customHeight="1" x14ac:dyDescent="0.3">
      <c r="B21" s="5"/>
      <c r="C21" s="3" t="s">
        <v>15</v>
      </c>
      <c r="D21" s="5"/>
      <c r="E21" s="5"/>
      <c r="F21" s="5"/>
      <c r="G21" s="5"/>
      <c r="H21" s="5"/>
      <c r="I21" s="5"/>
      <c r="J21" s="5"/>
      <c r="K21" s="5"/>
    </row>
    <row r="22" spans="2:11" ht="15.75" customHeight="1" x14ac:dyDescent="0.25">
      <c r="B22" s="5"/>
      <c r="C22" s="5"/>
      <c r="D22" s="5"/>
      <c r="E22" s="5"/>
      <c r="F22" s="5"/>
      <c r="G22" s="5"/>
      <c r="H22" s="5"/>
      <c r="I22" s="5"/>
      <c r="J22" s="5"/>
      <c r="K22" s="5"/>
    </row>
    <row r="23" spans="2:11" ht="15.75" customHeight="1" x14ac:dyDescent="0.3">
      <c r="B23" s="2" t="s">
        <v>16</v>
      </c>
      <c r="C23" s="5"/>
      <c r="D23" s="5"/>
      <c r="E23" s="5"/>
      <c r="F23" s="5"/>
      <c r="G23" s="5"/>
      <c r="H23" s="5"/>
      <c r="I23" s="5"/>
      <c r="J23" s="5"/>
      <c r="K23" s="5"/>
    </row>
    <row r="24" spans="2:11" ht="15.75" customHeight="1" x14ac:dyDescent="0.3">
      <c r="B24" s="5"/>
      <c r="C24" s="3" t="s">
        <v>17</v>
      </c>
      <c r="D24" s="5"/>
      <c r="E24" s="5"/>
      <c r="F24" s="5"/>
      <c r="G24" s="5"/>
      <c r="H24" s="5"/>
      <c r="I24" s="5"/>
      <c r="J24" s="5"/>
      <c r="K24" s="5"/>
    </row>
    <row r="25" spans="2:11" ht="15.75" customHeight="1" x14ac:dyDescent="0.3">
      <c r="B25" s="5"/>
      <c r="C25" s="3" t="s">
        <v>18</v>
      </c>
      <c r="D25" s="5"/>
      <c r="E25" s="5"/>
      <c r="F25" s="5"/>
      <c r="G25" s="5"/>
      <c r="H25" s="5"/>
      <c r="I25" s="5"/>
      <c r="J25" s="5"/>
      <c r="K25" s="5"/>
    </row>
    <row r="26" spans="2:11" ht="15.75" customHeight="1" x14ac:dyDescent="0.3">
      <c r="B26" s="5"/>
      <c r="C26" s="3"/>
      <c r="D26" s="5"/>
      <c r="E26" s="5"/>
      <c r="F26" s="5"/>
      <c r="G26" s="5"/>
      <c r="H26" s="5"/>
      <c r="I26" s="5"/>
      <c r="J26" s="5"/>
      <c r="K26" s="5"/>
    </row>
    <row r="27" spans="2:11" ht="15.75" customHeight="1" x14ac:dyDescent="0.25">
      <c r="B27" s="5"/>
      <c r="C27" s="5"/>
      <c r="D27" s="6"/>
      <c r="E27" s="5"/>
      <c r="F27" s="5"/>
      <c r="G27" s="5"/>
      <c r="H27" s="5"/>
      <c r="I27" s="5"/>
      <c r="J27" s="5"/>
      <c r="K27" s="5"/>
    </row>
    <row r="28" spans="2:11" ht="15.75" customHeight="1" x14ac:dyDescent="0.25"/>
    <row r="29" spans="2:11" ht="15.75" customHeight="1" x14ac:dyDescent="0.25"/>
    <row r="30" spans="2:11" ht="15.75" customHeight="1" x14ac:dyDescent="0.25"/>
    <row r="31" spans="2:11" ht="15.75" customHeight="1" x14ac:dyDescent="0.25"/>
    <row r="32" spans="2:11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outlinePr summaryBelow="0" summaryRight="0"/>
  </sheetPr>
  <dimension ref="A1:O1000"/>
  <sheetViews>
    <sheetView zoomScale="95" zoomScaleNormal="95" workbookViewId="0">
      <selection activeCell="G2" sqref="G2:G35"/>
    </sheetView>
  </sheetViews>
  <sheetFormatPr defaultColWidth="12.6640625" defaultRowHeight="15" customHeight="1" x14ac:dyDescent="0.25"/>
  <cols>
    <col min="1" max="1" width="12.6640625" customWidth="1"/>
    <col min="2" max="2" width="15.33203125" customWidth="1"/>
    <col min="3" max="3" width="13.6640625" customWidth="1"/>
    <col min="4" max="6" width="12.6640625" customWidth="1"/>
  </cols>
  <sheetData>
    <row r="1" spans="1:15" ht="15.75" customHeight="1" x14ac:dyDescent="0.25">
      <c r="A1" s="7" t="s">
        <v>19</v>
      </c>
      <c r="B1" s="7" t="s">
        <v>20</v>
      </c>
      <c r="C1" s="7" t="s">
        <v>21</v>
      </c>
      <c r="D1" s="7" t="s">
        <v>22</v>
      </c>
      <c r="E1" s="7" t="s">
        <v>23</v>
      </c>
      <c r="F1" s="7" t="s">
        <v>24</v>
      </c>
    </row>
    <row r="2" spans="1:15" ht="15.75" customHeight="1" x14ac:dyDescent="0.25">
      <c r="A2" s="5" t="s">
        <v>25</v>
      </c>
      <c r="B2" s="5" t="s">
        <v>26</v>
      </c>
      <c r="C2" s="5" t="s">
        <v>27</v>
      </c>
      <c r="D2" s="5">
        <v>1000</v>
      </c>
      <c r="E2" s="5">
        <v>30</v>
      </c>
      <c r="F2" s="5" t="s">
        <v>28</v>
      </c>
    </row>
    <row r="3" spans="1:15" ht="15.75" customHeight="1" x14ac:dyDescent="0.3">
      <c r="A3" s="8" t="s">
        <v>29</v>
      </c>
      <c r="B3" s="8" t="s">
        <v>30</v>
      </c>
      <c r="C3" s="8" t="s">
        <v>31</v>
      </c>
      <c r="D3" s="8">
        <v>80</v>
      </c>
      <c r="E3" s="8">
        <v>15</v>
      </c>
      <c r="F3" s="8" t="s">
        <v>32</v>
      </c>
      <c r="H3" s="2"/>
      <c r="I3" s="5"/>
      <c r="J3" s="5"/>
      <c r="K3" s="5"/>
      <c r="L3" s="5"/>
      <c r="M3" s="5"/>
      <c r="N3" s="5"/>
      <c r="O3" s="5"/>
    </row>
    <row r="4" spans="1:15" ht="15.75" customHeight="1" x14ac:dyDescent="0.3">
      <c r="A4" s="5" t="s">
        <v>33</v>
      </c>
      <c r="B4" s="5" t="s">
        <v>34</v>
      </c>
      <c r="C4" s="5" t="s">
        <v>35</v>
      </c>
      <c r="D4" s="5">
        <v>130</v>
      </c>
      <c r="E4" s="5">
        <v>40</v>
      </c>
      <c r="F4" s="5" t="s">
        <v>36</v>
      </c>
      <c r="H4" s="5"/>
      <c r="I4" s="3"/>
      <c r="J4" s="5"/>
      <c r="K4" s="5"/>
      <c r="L4" s="5"/>
      <c r="M4" s="5"/>
      <c r="N4" s="5"/>
      <c r="O4" s="5"/>
    </row>
    <row r="5" spans="1:15" ht="15.75" customHeight="1" x14ac:dyDescent="0.3">
      <c r="A5" s="8" t="s">
        <v>37</v>
      </c>
      <c r="B5" s="8" t="s">
        <v>38</v>
      </c>
      <c r="C5" s="8" t="s">
        <v>39</v>
      </c>
      <c r="D5" s="8">
        <v>900</v>
      </c>
      <c r="E5" s="8">
        <v>25</v>
      </c>
      <c r="F5" s="8" t="s">
        <v>28</v>
      </c>
      <c r="H5" s="5"/>
      <c r="I5" s="3"/>
      <c r="J5" s="5"/>
      <c r="K5" s="5"/>
      <c r="L5" s="5"/>
      <c r="M5" s="5"/>
      <c r="N5" s="5"/>
      <c r="O5" s="5"/>
    </row>
    <row r="6" spans="1:15" ht="15.75" customHeight="1" x14ac:dyDescent="0.25">
      <c r="A6" s="5" t="s">
        <v>40</v>
      </c>
      <c r="B6" s="5" t="s">
        <v>41</v>
      </c>
      <c r="C6" s="5" t="s">
        <v>42</v>
      </c>
      <c r="D6" s="5">
        <v>70</v>
      </c>
      <c r="E6" s="5">
        <v>20</v>
      </c>
      <c r="F6" s="5"/>
    </row>
    <row r="7" spans="1:15" ht="15.75" customHeight="1" x14ac:dyDescent="0.25">
      <c r="A7" s="8" t="s">
        <v>43</v>
      </c>
      <c r="B7" s="8" t="s">
        <v>44</v>
      </c>
      <c r="C7" s="8" t="s">
        <v>45</v>
      </c>
      <c r="D7" s="8"/>
      <c r="E7" s="8">
        <v>45</v>
      </c>
      <c r="F7" s="8" t="s">
        <v>46</v>
      </c>
    </row>
    <row r="8" spans="1:15" ht="15.75" customHeight="1" x14ac:dyDescent="0.25">
      <c r="A8" s="5" t="s">
        <v>47</v>
      </c>
      <c r="B8" s="5" t="s">
        <v>48</v>
      </c>
      <c r="C8" s="5" t="s">
        <v>49</v>
      </c>
      <c r="D8" s="5">
        <v>30</v>
      </c>
      <c r="E8" s="5">
        <v>5</v>
      </c>
      <c r="F8" s="5" t="s">
        <v>32</v>
      </c>
    </row>
    <row r="9" spans="1:15" ht="15.75" customHeight="1" x14ac:dyDescent="0.25">
      <c r="A9" s="8" t="s">
        <v>50</v>
      </c>
      <c r="B9" s="8" t="s">
        <v>51</v>
      </c>
      <c r="C9" s="8" t="s">
        <v>52</v>
      </c>
      <c r="D9" s="8">
        <v>90</v>
      </c>
      <c r="E9" s="8">
        <v>35</v>
      </c>
      <c r="F9" s="8" t="s">
        <v>36</v>
      </c>
    </row>
    <row r="10" spans="1:15" ht="15.75" customHeight="1" x14ac:dyDescent="0.25">
      <c r="A10" s="5" t="s">
        <v>53</v>
      </c>
      <c r="B10" s="5" t="s">
        <v>54</v>
      </c>
      <c r="C10" s="5" t="s">
        <v>55</v>
      </c>
      <c r="D10" s="5">
        <v>500</v>
      </c>
      <c r="E10" s="5">
        <v>50</v>
      </c>
      <c r="F10" s="5" t="s">
        <v>28</v>
      </c>
    </row>
    <row r="11" spans="1:15" ht="15.75" customHeight="1" x14ac:dyDescent="0.25">
      <c r="A11" s="8" t="s">
        <v>56</v>
      </c>
      <c r="B11" s="8" t="s">
        <v>57</v>
      </c>
      <c r="C11" s="8" t="s">
        <v>58</v>
      </c>
      <c r="D11" s="8">
        <v>130</v>
      </c>
      <c r="E11" s="8">
        <v>10</v>
      </c>
      <c r="F11" s="8" t="s">
        <v>59</v>
      </c>
    </row>
    <row r="12" spans="1:15" ht="15.75" customHeight="1" x14ac:dyDescent="0.25">
      <c r="A12" s="5" t="s">
        <v>60</v>
      </c>
      <c r="B12" s="5" t="s">
        <v>61</v>
      </c>
      <c r="C12" s="5" t="s">
        <v>62</v>
      </c>
      <c r="D12" s="5">
        <v>950</v>
      </c>
      <c r="E12" s="5">
        <v>25</v>
      </c>
      <c r="F12" s="5" t="s">
        <v>28</v>
      </c>
    </row>
    <row r="13" spans="1:15" ht="15.75" customHeight="1" x14ac:dyDescent="0.25">
      <c r="A13" s="8" t="s">
        <v>63</v>
      </c>
      <c r="B13" s="8" t="s">
        <v>30</v>
      </c>
      <c r="C13" s="8" t="s">
        <v>49</v>
      </c>
      <c r="D13" s="8">
        <v>90</v>
      </c>
      <c r="E13" s="8">
        <v>40</v>
      </c>
      <c r="F13" s="8"/>
    </row>
    <row r="14" spans="1:15" ht="15.75" customHeight="1" x14ac:dyDescent="0.25">
      <c r="A14" s="5" t="s">
        <v>64</v>
      </c>
      <c r="B14" s="5" t="s">
        <v>34</v>
      </c>
      <c r="C14" s="5" t="s">
        <v>65</v>
      </c>
      <c r="D14" s="5">
        <v>120</v>
      </c>
      <c r="E14" s="5">
        <v>35</v>
      </c>
      <c r="F14" s="5"/>
    </row>
    <row r="15" spans="1:15" ht="15.75" customHeight="1" x14ac:dyDescent="0.25">
      <c r="A15" s="8" t="s">
        <v>66</v>
      </c>
      <c r="B15" s="8" t="s">
        <v>67</v>
      </c>
      <c r="C15" s="8" t="s">
        <v>68</v>
      </c>
      <c r="D15" s="8">
        <v>150</v>
      </c>
      <c r="E15" s="8">
        <v>15</v>
      </c>
      <c r="F15" s="8" t="s">
        <v>46</v>
      </c>
    </row>
    <row r="16" spans="1:15" ht="15.75" customHeight="1" x14ac:dyDescent="0.25">
      <c r="A16" s="5" t="s">
        <v>69</v>
      </c>
      <c r="B16" s="5" t="s">
        <v>70</v>
      </c>
      <c r="C16" s="5" t="s">
        <v>71</v>
      </c>
      <c r="D16" s="5">
        <v>250</v>
      </c>
      <c r="E16" s="5">
        <v>20</v>
      </c>
      <c r="F16" s="5" t="s">
        <v>46</v>
      </c>
    </row>
    <row r="17" spans="1:6" ht="15.75" customHeight="1" x14ac:dyDescent="0.25">
      <c r="A17" s="8" t="s">
        <v>72</v>
      </c>
      <c r="B17" s="8" t="s">
        <v>73</v>
      </c>
      <c r="C17" s="8" t="s">
        <v>74</v>
      </c>
      <c r="D17" s="8">
        <v>50</v>
      </c>
      <c r="E17" s="8">
        <v>35</v>
      </c>
      <c r="F17" s="8" t="s">
        <v>75</v>
      </c>
    </row>
    <row r="18" spans="1:6" ht="15.75" customHeight="1" x14ac:dyDescent="0.25">
      <c r="A18" s="5" t="s">
        <v>76</v>
      </c>
      <c r="B18" s="5" t="s">
        <v>67</v>
      </c>
      <c r="C18" s="5" t="s">
        <v>77</v>
      </c>
      <c r="D18" s="5">
        <v>160</v>
      </c>
      <c r="E18" s="5">
        <v>15</v>
      </c>
      <c r="F18" s="5" t="s">
        <v>46</v>
      </c>
    </row>
    <row r="19" spans="1:6" ht="15.75" customHeight="1" x14ac:dyDescent="0.25">
      <c r="A19" s="8" t="s">
        <v>78</v>
      </c>
      <c r="B19" s="8" t="s">
        <v>26</v>
      </c>
      <c r="C19" s="8" t="s">
        <v>79</v>
      </c>
      <c r="D19" s="8">
        <v>980</v>
      </c>
      <c r="E19" s="8">
        <v>10</v>
      </c>
      <c r="F19" s="8" t="s">
        <v>28</v>
      </c>
    </row>
    <row r="20" spans="1:6" ht="15.75" customHeight="1" x14ac:dyDescent="0.25">
      <c r="A20" s="5" t="s">
        <v>80</v>
      </c>
      <c r="B20" s="5" t="s">
        <v>81</v>
      </c>
      <c r="C20" s="5" t="s">
        <v>82</v>
      </c>
      <c r="D20" s="5">
        <v>150</v>
      </c>
      <c r="E20" s="5">
        <v>15</v>
      </c>
      <c r="F20" s="5" t="s">
        <v>32</v>
      </c>
    </row>
    <row r="21" spans="1:6" ht="15.75" customHeight="1" x14ac:dyDescent="0.25">
      <c r="A21" s="8" t="s">
        <v>83</v>
      </c>
      <c r="B21" s="8" t="s">
        <v>84</v>
      </c>
      <c r="C21" s="8" t="s">
        <v>85</v>
      </c>
      <c r="D21" s="8"/>
      <c r="E21" s="8">
        <v>10</v>
      </c>
      <c r="F21" s="8" t="s">
        <v>59</v>
      </c>
    </row>
    <row r="22" spans="1:6" ht="15.75" customHeight="1" x14ac:dyDescent="0.25">
      <c r="A22" s="5" t="s">
        <v>86</v>
      </c>
      <c r="B22" s="5" t="s">
        <v>87</v>
      </c>
      <c r="C22" s="5" t="s">
        <v>88</v>
      </c>
      <c r="D22" s="5">
        <v>700</v>
      </c>
      <c r="E22" s="5">
        <v>50</v>
      </c>
      <c r="F22" s="5" t="s">
        <v>28</v>
      </c>
    </row>
    <row r="23" spans="1:6" ht="15.75" customHeight="1" x14ac:dyDescent="0.25">
      <c r="A23" s="8" t="s">
        <v>89</v>
      </c>
      <c r="B23" s="8" t="s">
        <v>90</v>
      </c>
      <c r="C23" s="8" t="s">
        <v>91</v>
      </c>
      <c r="D23" s="8">
        <v>80</v>
      </c>
      <c r="E23" s="8">
        <v>20</v>
      </c>
      <c r="F23" s="8" t="s">
        <v>36</v>
      </c>
    </row>
    <row r="24" spans="1:6" ht="15.75" customHeight="1" x14ac:dyDescent="0.25">
      <c r="A24" s="5" t="s">
        <v>92</v>
      </c>
      <c r="B24" s="5" t="s">
        <v>93</v>
      </c>
      <c r="C24" s="5" t="s">
        <v>94</v>
      </c>
      <c r="D24" s="5">
        <v>150</v>
      </c>
      <c r="E24" s="5">
        <v>30</v>
      </c>
      <c r="F24" s="5"/>
    </row>
    <row r="25" spans="1:6" ht="15.75" customHeight="1" x14ac:dyDescent="0.25">
      <c r="A25" s="8" t="s">
        <v>72</v>
      </c>
      <c r="B25" s="8" t="s">
        <v>73</v>
      </c>
      <c r="C25" s="8" t="s">
        <v>74</v>
      </c>
      <c r="D25" s="8">
        <v>50</v>
      </c>
      <c r="E25" s="8">
        <v>35</v>
      </c>
      <c r="F25" s="8" t="s">
        <v>75</v>
      </c>
    </row>
    <row r="26" spans="1:6" ht="15.75" customHeight="1" x14ac:dyDescent="0.25">
      <c r="A26" s="5" t="s">
        <v>95</v>
      </c>
      <c r="B26" s="5" t="s">
        <v>96</v>
      </c>
      <c r="C26" s="5" t="s">
        <v>97</v>
      </c>
      <c r="D26" s="5">
        <v>800</v>
      </c>
      <c r="E26" s="5">
        <v>45</v>
      </c>
      <c r="F26" s="5" t="s">
        <v>28</v>
      </c>
    </row>
    <row r="27" spans="1:6" ht="15.75" customHeight="1" x14ac:dyDescent="0.25">
      <c r="A27" s="8" t="s">
        <v>98</v>
      </c>
      <c r="B27" s="8" t="s">
        <v>81</v>
      </c>
      <c r="C27" s="8" t="s">
        <v>99</v>
      </c>
      <c r="D27" s="8"/>
      <c r="E27" s="8">
        <v>25</v>
      </c>
      <c r="F27" s="8" t="s">
        <v>32</v>
      </c>
    </row>
    <row r="28" spans="1:6" ht="15.75" customHeight="1" x14ac:dyDescent="0.25">
      <c r="A28" s="5" t="s">
        <v>100</v>
      </c>
      <c r="B28" s="5" t="s">
        <v>51</v>
      </c>
      <c r="C28" s="5" t="s">
        <v>101</v>
      </c>
      <c r="D28" s="5">
        <v>400</v>
      </c>
      <c r="E28" s="5">
        <v>40</v>
      </c>
      <c r="F28" s="5" t="s">
        <v>36</v>
      </c>
    </row>
    <row r="29" spans="1:6" ht="15.75" customHeight="1" x14ac:dyDescent="0.25">
      <c r="A29" s="8" t="s">
        <v>69</v>
      </c>
      <c r="B29" s="8" t="s">
        <v>70</v>
      </c>
      <c r="C29" s="8" t="s">
        <v>71</v>
      </c>
      <c r="D29" s="8">
        <v>250</v>
      </c>
      <c r="E29" s="8">
        <v>20</v>
      </c>
      <c r="F29" s="8" t="s">
        <v>46</v>
      </c>
    </row>
    <row r="30" spans="1:6" ht="15.75" customHeight="1" x14ac:dyDescent="0.25">
      <c r="A30" s="5" t="s">
        <v>102</v>
      </c>
      <c r="B30" s="5" t="s">
        <v>103</v>
      </c>
      <c r="C30" s="5" t="s">
        <v>104</v>
      </c>
      <c r="D30" s="5">
        <v>60</v>
      </c>
      <c r="E30" s="5">
        <v>30</v>
      </c>
      <c r="F30" s="5" t="s">
        <v>32</v>
      </c>
    </row>
    <row r="31" spans="1:6" ht="15.75" customHeight="1" x14ac:dyDescent="0.25">
      <c r="A31" s="8" t="s">
        <v>105</v>
      </c>
      <c r="B31" s="8" t="s">
        <v>106</v>
      </c>
      <c r="C31" s="8" t="s">
        <v>107</v>
      </c>
      <c r="D31" s="8">
        <v>40</v>
      </c>
      <c r="E31" s="8">
        <v>10</v>
      </c>
      <c r="F31" s="8" t="s">
        <v>36</v>
      </c>
    </row>
    <row r="32" spans="1:6" ht="15.75" customHeight="1" x14ac:dyDescent="0.25">
      <c r="A32" s="5" t="s">
        <v>108</v>
      </c>
      <c r="B32" s="5" t="s">
        <v>93</v>
      </c>
      <c r="C32" s="5" t="s">
        <v>109</v>
      </c>
      <c r="D32" s="5">
        <v>130</v>
      </c>
      <c r="E32" s="5">
        <v>5</v>
      </c>
      <c r="F32" s="5" t="s">
        <v>28</v>
      </c>
    </row>
    <row r="33" spans="1:6" ht="15.75" customHeight="1" x14ac:dyDescent="0.25">
      <c r="A33" s="8" t="s">
        <v>110</v>
      </c>
      <c r="B33" s="8" t="s">
        <v>111</v>
      </c>
      <c r="C33" s="8" t="s">
        <v>112</v>
      </c>
      <c r="D33" s="8">
        <v>50</v>
      </c>
      <c r="E33" s="8">
        <v>50</v>
      </c>
      <c r="F33" s="8" t="s">
        <v>32</v>
      </c>
    </row>
    <row r="34" spans="1:6" ht="15.75" customHeight="1" x14ac:dyDescent="0.25">
      <c r="A34" s="5" t="s">
        <v>60</v>
      </c>
      <c r="B34" s="5" t="s">
        <v>61</v>
      </c>
      <c r="C34" s="5" t="s">
        <v>62</v>
      </c>
      <c r="D34" s="5">
        <v>950</v>
      </c>
      <c r="E34" s="5">
        <v>25</v>
      </c>
      <c r="F34" s="5" t="s">
        <v>28</v>
      </c>
    </row>
    <row r="35" spans="1:6" ht="15.75" customHeight="1" x14ac:dyDescent="0.25">
      <c r="A35" s="8" t="s">
        <v>113</v>
      </c>
      <c r="B35" s="8" t="s">
        <v>114</v>
      </c>
      <c r="C35" s="8" t="s">
        <v>115</v>
      </c>
      <c r="D35" s="8">
        <v>100</v>
      </c>
      <c r="E35" s="8">
        <v>20</v>
      </c>
      <c r="F35" s="8" t="s">
        <v>75</v>
      </c>
    </row>
    <row r="36" spans="1:6" ht="15.75" customHeight="1" x14ac:dyDescent="0.25"/>
    <row r="37" spans="1:6" ht="15.75" customHeight="1" x14ac:dyDescent="0.25"/>
    <row r="38" spans="1:6" ht="15.75" customHeight="1" x14ac:dyDescent="0.25"/>
    <row r="39" spans="1:6" ht="15.75" customHeight="1" x14ac:dyDescent="0.25"/>
    <row r="40" spans="1:6" ht="15.75" customHeight="1" x14ac:dyDescent="0.25"/>
    <row r="41" spans="1:6" ht="15.75" customHeight="1" x14ac:dyDescent="0.25"/>
    <row r="42" spans="1:6" ht="15.75" customHeight="1" x14ac:dyDescent="0.25"/>
    <row r="43" spans="1:6" ht="15.75" customHeight="1" x14ac:dyDescent="0.25"/>
    <row r="44" spans="1:6" ht="15.75" customHeight="1" x14ac:dyDescent="0.25"/>
    <row r="45" spans="1:6" ht="15.75" customHeight="1" x14ac:dyDescent="0.25"/>
    <row r="46" spans="1:6" ht="15.75" customHeight="1" x14ac:dyDescent="0.25"/>
    <row r="47" spans="1:6" ht="15.75" customHeight="1" x14ac:dyDescent="0.25"/>
    <row r="48" spans="1:6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A76FE-BF07-4301-9EEA-7F9146ED7743}">
  <sheetPr codeName="Sheet3">
    <tabColor rgb="FFFFC000"/>
    <outlinePr summaryBelow="0" summaryRight="0"/>
  </sheetPr>
  <dimension ref="A1:M1000"/>
  <sheetViews>
    <sheetView topLeftCell="A4" workbookViewId="0">
      <selection activeCell="A2" sqref="A2"/>
    </sheetView>
  </sheetViews>
  <sheetFormatPr defaultColWidth="12.6640625" defaultRowHeight="15" customHeight="1" x14ac:dyDescent="0.25"/>
  <cols>
    <col min="1" max="1" width="14.77734375" style="20" bestFit="1" customWidth="1"/>
    <col min="2" max="2" width="22.6640625" style="20" bestFit="1" customWidth="1"/>
    <col min="3" max="3" width="17.77734375" bestFit="1" customWidth="1"/>
    <col min="4" max="4" width="18" bestFit="1" customWidth="1"/>
    <col min="5" max="5" width="16.21875" bestFit="1" customWidth="1"/>
    <col min="6" max="6" width="22.109375" bestFit="1" customWidth="1"/>
    <col min="7" max="7" width="12.77734375" style="12" bestFit="1" customWidth="1"/>
    <col min="8" max="8" width="14" style="12" customWidth="1"/>
    <col min="9" max="9" width="12.88671875" style="16" bestFit="1" customWidth="1"/>
    <col min="10" max="10" width="13.44140625" bestFit="1" customWidth="1"/>
    <col min="11" max="11" width="14.44140625" bestFit="1" customWidth="1"/>
    <col min="13" max="13" width="21.6640625" bestFit="1" customWidth="1"/>
    <col min="14" max="14" width="26.5546875" bestFit="1" customWidth="1"/>
    <col min="15" max="15" width="7.88671875" bestFit="1" customWidth="1"/>
    <col min="16" max="16" width="16.77734375" bestFit="1" customWidth="1"/>
    <col min="17" max="17" width="8.33203125" bestFit="1" customWidth="1"/>
    <col min="18" max="18" width="7" bestFit="1" customWidth="1"/>
    <col min="19" max="19" width="11.33203125" bestFit="1" customWidth="1"/>
    <col min="20" max="20" width="11.88671875" bestFit="1" customWidth="1"/>
    <col min="21" max="21" width="12.21875" bestFit="1" customWidth="1"/>
    <col min="22" max="22" width="6.109375" bestFit="1" customWidth="1"/>
    <col min="23" max="23" width="7.109375" bestFit="1" customWidth="1"/>
    <col min="24" max="24" width="11.109375" bestFit="1" customWidth="1"/>
    <col min="25" max="25" width="10.21875" bestFit="1" customWidth="1"/>
    <col min="26" max="26" width="11.6640625" bestFit="1" customWidth="1"/>
    <col min="27" max="27" width="11.44140625" bestFit="1" customWidth="1"/>
    <col min="28" max="28" width="9.109375" bestFit="1" customWidth="1"/>
    <col min="29" max="29" width="11" bestFit="1" customWidth="1"/>
    <col min="30" max="30" width="6.33203125" bestFit="1" customWidth="1"/>
    <col min="31" max="31" width="7.6640625" bestFit="1" customWidth="1"/>
    <col min="32" max="32" width="7" bestFit="1" customWidth="1"/>
    <col min="33" max="33" width="6.6640625" bestFit="1" customWidth="1"/>
    <col min="34" max="34" width="11.33203125" bestFit="1" customWidth="1"/>
    <col min="35" max="35" width="10.6640625" bestFit="1" customWidth="1"/>
    <col min="36" max="36" width="7.33203125" bestFit="1" customWidth="1"/>
    <col min="37" max="37" width="6.77734375" bestFit="1" customWidth="1"/>
    <col min="38" max="38" width="4.77734375" bestFit="1" customWidth="1"/>
    <col min="39" max="39" width="11.33203125" bestFit="1" customWidth="1"/>
  </cols>
  <sheetData>
    <row r="1" spans="1:13" ht="15.75" customHeight="1" x14ac:dyDescent="0.25">
      <c r="A1" s="17" t="s">
        <v>19</v>
      </c>
      <c r="B1" s="24" t="s">
        <v>117</v>
      </c>
      <c r="C1" s="24" t="s">
        <v>116</v>
      </c>
      <c r="D1" s="21" t="s">
        <v>20</v>
      </c>
      <c r="E1" s="7" t="s">
        <v>21</v>
      </c>
      <c r="F1" s="24" t="s">
        <v>118</v>
      </c>
      <c r="G1" s="9" t="s">
        <v>22</v>
      </c>
      <c r="H1" s="24" t="s">
        <v>122</v>
      </c>
      <c r="I1" s="13" t="s">
        <v>23</v>
      </c>
      <c r="J1" s="7" t="s">
        <v>24</v>
      </c>
      <c r="K1" s="24" t="s">
        <v>198</v>
      </c>
      <c r="M1" s="24" t="s">
        <v>199</v>
      </c>
    </row>
    <row r="2" spans="1:13" ht="15.75" customHeight="1" x14ac:dyDescent="0.25">
      <c r="A2" s="19" t="s">
        <v>63</v>
      </c>
      <c r="B2" s="18" t="str">
        <f t="shared" ref="B2:B32" si="0">TEXT(LEFT(A2,LEN(A2)-3),"DD-MM-YYYY")</f>
        <v>25-11-2026</v>
      </c>
      <c r="C2" s="5" t="str">
        <f t="shared" ref="C2:C32" si="1">RIGHT(A2,2)</f>
        <v>AU</v>
      </c>
      <c r="D2" s="8" t="s">
        <v>30</v>
      </c>
      <c r="E2" s="8" t="s">
        <v>49</v>
      </c>
      <c r="F2" s="5" t="str">
        <f t="shared" ref="F2:F32" si="2">CONCATENATE(D2,"- ",E2)</f>
        <v>Sneakers- Adidas</v>
      </c>
      <c r="G2" s="11">
        <v>90</v>
      </c>
      <c r="H2" s="12">
        <f t="shared" ref="H2:H32" si="3">IF(ISBLANK(G2),IFERROR(AVERAGEIF($D$2:$D$32,D2,$G$2:$G$32),IFERROR(AVERAGEIF($J$2:$J$32,J2,$G$2:$G$32),AVERAGE($G$2:$G$32))),G2)</f>
        <v>90</v>
      </c>
      <c r="I2" s="15">
        <v>40</v>
      </c>
      <c r="J2" s="8"/>
      <c r="K2" t="str">
        <f>IF(D2="Sneakers","Fashion",IF(D2="Fitness Tracker","Electronics",IF(D2="Coffee Maker","Kitchen",IF(D2="BackPack","Unknown",J2))))</f>
        <v>Fashion</v>
      </c>
      <c r="M2" s="22" t="s">
        <v>75</v>
      </c>
    </row>
    <row r="3" spans="1:13" ht="15.75" customHeight="1" x14ac:dyDescent="0.25">
      <c r="A3" s="18" t="s">
        <v>92</v>
      </c>
      <c r="B3" s="18" t="str">
        <f t="shared" si="0"/>
        <v>19-07-2026</v>
      </c>
      <c r="C3" s="5" t="str">
        <f t="shared" si="1"/>
        <v>BR</v>
      </c>
      <c r="D3" s="5" t="s">
        <v>93</v>
      </c>
      <c r="E3" s="5" t="s">
        <v>94</v>
      </c>
      <c r="F3" s="5" t="str">
        <f t="shared" si="2"/>
        <v>Fitness Tracker- Xiaomi</v>
      </c>
      <c r="G3" s="10">
        <v>150</v>
      </c>
      <c r="H3" s="12">
        <f t="shared" si="3"/>
        <v>150</v>
      </c>
      <c r="I3" s="14">
        <v>30</v>
      </c>
      <c r="J3" s="5"/>
      <c r="K3" t="str">
        <f t="shared" ref="K3:K32" si="4">IF(D3="Sneakers","Fashion",IF(D3="Fitness Tracker","Electronics",IF(D3="Coffee Maker","Kitchen",IF(D3="BackPack","Unknown",J3))))</f>
        <v>Electronics</v>
      </c>
      <c r="M3" s="23" t="s">
        <v>73</v>
      </c>
    </row>
    <row r="4" spans="1:13" ht="15.75" customHeight="1" x14ac:dyDescent="0.25">
      <c r="A4" s="19" t="s">
        <v>110</v>
      </c>
      <c r="B4" s="18" t="str">
        <f t="shared" si="0"/>
        <v>02-12-2026</v>
      </c>
      <c r="C4" s="5" t="str">
        <f t="shared" si="1"/>
        <v>CA</v>
      </c>
      <c r="D4" s="8" t="s">
        <v>111</v>
      </c>
      <c r="E4" s="8" t="s">
        <v>121</v>
      </c>
      <c r="F4" s="5" t="str">
        <f t="shared" si="2"/>
        <v>Jeans- Levi'S</v>
      </c>
      <c r="G4" s="11">
        <v>50</v>
      </c>
      <c r="H4" s="12">
        <f t="shared" si="3"/>
        <v>50</v>
      </c>
      <c r="I4" s="15">
        <v>50</v>
      </c>
      <c r="J4" s="8" t="s">
        <v>32</v>
      </c>
      <c r="K4" t="str">
        <f t="shared" si="4"/>
        <v>Fashion</v>
      </c>
      <c r="M4" s="23" t="s">
        <v>114</v>
      </c>
    </row>
    <row r="5" spans="1:13" ht="15.75" customHeight="1" x14ac:dyDescent="0.25">
      <c r="A5" s="19" t="s">
        <v>98</v>
      </c>
      <c r="B5" s="18" t="str">
        <f t="shared" si="0"/>
        <v>03-06-2026</v>
      </c>
      <c r="C5" s="5" t="str">
        <f t="shared" si="1"/>
        <v>CA</v>
      </c>
      <c r="D5" s="8" t="s">
        <v>81</v>
      </c>
      <c r="E5" s="8" t="s">
        <v>99</v>
      </c>
      <c r="F5" s="5" t="str">
        <f t="shared" si="2"/>
        <v>Sunglasses- Ray-Ban</v>
      </c>
      <c r="G5" s="11"/>
      <c r="H5" s="12">
        <f t="shared" si="3"/>
        <v>150</v>
      </c>
      <c r="I5" s="15">
        <v>25</v>
      </c>
      <c r="J5" s="8" t="s">
        <v>32</v>
      </c>
      <c r="K5" t="str">
        <f t="shared" si="4"/>
        <v>Fashion</v>
      </c>
      <c r="M5" s="22" t="s">
        <v>28</v>
      </c>
    </row>
    <row r="6" spans="1:13" ht="15.75" customHeight="1" x14ac:dyDescent="0.25">
      <c r="A6" s="18" t="s">
        <v>102</v>
      </c>
      <c r="B6" s="18" t="str">
        <f t="shared" si="0"/>
        <v>07-03-2026</v>
      </c>
      <c r="C6" s="5" t="str">
        <f t="shared" si="1"/>
        <v>CA</v>
      </c>
      <c r="D6" s="5" t="s">
        <v>103</v>
      </c>
      <c r="E6" s="5" t="s">
        <v>104</v>
      </c>
      <c r="F6" s="5" t="str">
        <f t="shared" si="2"/>
        <v>Dress- Zara</v>
      </c>
      <c r="G6" s="10">
        <v>60</v>
      </c>
      <c r="H6" s="12">
        <f t="shared" si="3"/>
        <v>60</v>
      </c>
      <c r="I6" s="14">
        <v>30</v>
      </c>
      <c r="J6" s="5" t="s">
        <v>32</v>
      </c>
      <c r="K6" t="str">
        <f t="shared" si="4"/>
        <v>Fashion</v>
      </c>
      <c r="M6" s="23" t="s">
        <v>87</v>
      </c>
    </row>
    <row r="7" spans="1:13" ht="15.75" customHeight="1" x14ac:dyDescent="0.25">
      <c r="A7" s="19" t="s">
        <v>89</v>
      </c>
      <c r="B7" s="18" t="str">
        <f t="shared" si="0"/>
        <v>09-01-2026</v>
      </c>
      <c r="C7" s="5" t="str">
        <f t="shared" si="1"/>
        <v>CA</v>
      </c>
      <c r="D7" s="8" t="s">
        <v>90</v>
      </c>
      <c r="E7" s="8" t="s">
        <v>91</v>
      </c>
      <c r="F7" s="5" t="str">
        <f t="shared" si="2"/>
        <v>Microwave- Panasonic</v>
      </c>
      <c r="G7" s="11">
        <v>80</v>
      </c>
      <c r="H7" s="12">
        <f t="shared" si="3"/>
        <v>80</v>
      </c>
      <c r="I7" s="15">
        <v>20</v>
      </c>
      <c r="J7" s="8" t="s">
        <v>36</v>
      </c>
      <c r="K7" t="str">
        <f t="shared" si="4"/>
        <v>Kitchen</v>
      </c>
      <c r="M7" s="23" t="s">
        <v>93</v>
      </c>
    </row>
    <row r="8" spans="1:13" ht="15.75" customHeight="1" x14ac:dyDescent="0.25">
      <c r="A8" s="18" t="s">
        <v>100</v>
      </c>
      <c r="B8" s="18" t="str">
        <f t="shared" si="0"/>
        <v>11-07-2026</v>
      </c>
      <c r="C8" s="5" t="str">
        <f t="shared" si="1"/>
        <v>CA</v>
      </c>
      <c r="D8" s="5" t="s">
        <v>51</v>
      </c>
      <c r="E8" s="5" t="s">
        <v>101</v>
      </c>
      <c r="F8" s="5" t="str">
        <f t="shared" si="2"/>
        <v>Blender- Vitamix</v>
      </c>
      <c r="G8" s="10">
        <v>400</v>
      </c>
      <c r="H8" s="12">
        <f t="shared" si="3"/>
        <v>400</v>
      </c>
      <c r="I8" s="14">
        <v>40</v>
      </c>
      <c r="J8" s="5" t="s">
        <v>36</v>
      </c>
      <c r="K8" t="str">
        <f t="shared" si="4"/>
        <v>Kitchen</v>
      </c>
      <c r="M8" s="23" t="s">
        <v>44</v>
      </c>
    </row>
    <row r="9" spans="1:13" ht="15.75" customHeight="1" x14ac:dyDescent="0.25">
      <c r="A9" s="19" t="s">
        <v>105</v>
      </c>
      <c r="B9" s="18" t="str">
        <f t="shared" si="0"/>
        <v>13-04-2026</v>
      </c>
      <c r="C9" s="5" t="str">
        <f t="shared" si="1"/>
        <v>CA</v>
      </c>
      <c r="D9" s="8" t="s">
        <v>106</v>
      </c>
      <c r="E9" s="8" t="s">
        <v>107</v>
      </c>
      <c r="F9" s="5" t="str">
        <f t="shared" si="2"/>
        <v>Toaster- Hamilton</v>
      </c>
      <c r="G9" s="11">
        <v>40</v>
      </c>
      <c r="H9" s="12">
        <f t="shared" si="3"/>
        <v>40</v>
      </c>
      <c r="I9" s="15">
        <v>10</v>
      </c>
      <c r="J9" s="8" t="s">
        <v>36</v>
      </c>
      <c r="K9" t="str">
        <f t="shared" si="4"/>
        <v>Kitchen</v>
      </c>
      <c r="M9" s="23" t="s">
        <v>61</v>
      </c>
    </row>
    <row r="10" spans="1:13" ht="15.75" customHeight="1" x14ac:dyDescent="0.25">
      <c r="A10" s="19" t="s">
        <v>66</v>
      </c>
      <c r="B10" s="18" t="str">
        <f t="shared" si="0"/>
        <v>18-02-2026</v>
      </c>
      <c r="C10" s="5" t="str">
        <f t="shared" si="1"/>
        <v>CA</v>
      </c>
      <c r="D10" s="8" t="s">
        <v>67</v>
      </c>
      <c r="E10" s="8" t="s">
        <v>68</v>
      </c>
      <c r="F10" s="5" t="str">
        <f t="shared" si="2"/>
        <v>Smartwatch- Fitbit</v>
      </c>
      <c r="G10" s="11">
        <v>150</v>
      </c>
      <c r="H10" s="12">
        <f t="shared" si="3"/>
        <v>150</v>
      </c>
      <c r="I10" s="15">
        <v>15</v>
      </c>
      <c r="J10" s="8" t="s">
        <v>28</v>
      </c>
      <c r="K10" t="str">
        <f t="shared" si="4"/>
        <v>Electronics</v>
      </c>
      <c r="M10" s="23" t="s">
        <v>96</v>
      </c>
    </row>
    <row r="11" spans="1:13" ht="15.75" customHeight="1" x14ac:dyDescent="0.25">
      <c r="A11" s="19" t="s">
        <v>72</v>
      </c>
      <c r="B11" s="18" t="str">
        <f t="shared" si="0"/>
        <v>21-08-2026</v>
      </c>
      <c r="C11" s="5" t="str">
        <f t="shared" si="1"/>
        <v>CA</v>
      </c>
      <c r="D11" s="8" t="s">
        <v>73</v>
      </c>
      <c r="E11" s="8" t="s">
        <v>74</v>
      </c>
      <c r="F11" s="5" t="str">
        <f t="shared" si="2"/>
        <v>Laptop Bag- Samsonite</v>
      </c>
      <c r="G11" s="11">
        <v>50</v>
      </c>
      <c r="H11" s="12">
        <f t="shared" si="3"/>
        <v>50</v>
      </c>
      <c r="I11" s="15">
        <v>35</v>
      </c>
      <c r="J11" s="8" t="s">
        <v>75</v>
      </c>
      <c r="K11" t="str">
        <f t="shared" si="4"/>
        <v>Accessories</v>
      </c>
      <c r="M11" s="23" t="s">
        <v>67</v>
      </c>
    </row>
    <row r="12" spans="1:13" ht="15.75" customHeight="1" x14ac:dyDescent="0.25">
      <c r="A12" s="18" t="s">
        <v>108</v>
      </c>
      <c r="B12" s="18" t="str">
        <f t="shared" si="0"/>
        <v>24-05-2026</v>
      </c>
      <c r="C12" s="5" t="str">
        <f t="shared" si="1"/>
        <v>CA</v>
      </c>
      <c r="D12" s="5" t="s">
        <v>93</v>
      </c>
      <c r="E12" s="5" t="s">
        <v>109</v>
      </c>
      <c r="F12" s="5" t="str">
        <f t="shared" si="2"/>
        <v>Fitness Tracker- Garmin</v>
      </c>
      <c r="G12" s="10">
        <v>130</v>
      </c>
      <c r="H12" s="12">
        <f t="shared" si="3"/>
        <v>130</v>
      </c>
      <c r="I12" s="14">
        <v>5</v>
      </c>
      <c r="J12" s="5" t="s">
        <v>28</v>
      </c>
      <c r="K12" t="str">
        <f t="shared" si="4"/>
        <v>Electronics</v>
      </c>
      <c r="M12" s="23" t="s">
        <v>54</v>
      </c>
    </row>
    <row r="13" spans="1:13" ht="15.75" customHeight="1" x14ac:dyDescent="0.25">
      <c r="A13" s="18" t="s">
        <v>95</v>
      </c>
      <c r="B13" s="18" t="str">
        <f t="shared" si="0"/>
        <v>29-09-2026</v>
      </c>
      <c r="C13" s="5" t="str">
        <f t="shared" si="1"/>
        <v>CA</v>
      </c>
      <c r="D13" s="5" t="s">
        <v>96</v>
      </c>
      <c r="E13" s="5" t="s">
        <v>97</v>
      </c>
      <c r="F13" s="5" t="str">
        <f t="shared" si="2"/>
        <v>Smartphone- Google</v>
      </c>
      <c r="G13" s="10">
        <v>800</v>
      </c>
      <c r="H13" s="12">
        <f t="shared" si="3"/>
        <v>800</v>
      </c>
      <c r="I13" s="14">
        <v>45</v>
      </c>
      <c r="J13" s="5" t="s">
        <v>28</v>
      </c>
      <c r="K13" t="str">
        <f t="shared" si="4"/>
        <v>Electronics</v>
      </c>
      <c r="M13" s="22" t="s">
        <v>32</v>
      </c>
    </row>
    <row r="14" spans="1:13" ht="15.75" customHeight="1" x14ac:dyDescent="0.25">
      <c r="A14" s="18" t="s">
        <v>76</v>
      </c>
      <c r="B14" s="18" t="str">
        <f t="shared" si="0"/>
        <v>20-08-2026</v>
      </c>
      <c r="C14" s="5" t="str">
        <f t="shared" si="1"/>
        <v>CN</v>
      </c>
      <c r="D14" s="5" t="s">
        <v>67</v>
      </c>
      <c r="E14" s="5" t="s">
        <v>77</v>
      </c>
      <c r="F14" s="5" t="str">
        <f t="shared" si="2"/>
        <v>Smartwatch- Huawei</v>
      </c>
      <c r="G14" s="10">
        <v>160</v>
      </c>
      <c r="H14" s="12">
        <f t="shared" si="3"/>
        <v>160</v>
      </c>
      <c r="I14" s="14">
        <v>15</v>
      </c>
      <c r="J14" s="5" t="s">
        <v>28</v>
      </c>
      <c r="K14" t="str">
        <f t="shared" si="4"/>
        <v>Electronics</v>
      </c>
      <c r="M14" s="23" t="s">
        <v>103</v>
      </c>
    </row>
    <row r="15" spans="1:13" ht="15.75" customHeight="1" x14ac:dyDescent="0.25">
      <c r="A15" s="18" t="s">
        <v>64</v>
      </c>
      <c r="B15" s="18" t="str">
        <f t="shared" si="0"/>
        <v>08-12-2026</v>
      </c>
      <c r="C15" s="5" t="str">
        <f t="shared" si="1"/>
        <v>DE</v>
      </c>
      <c r="D15" s="5" t="s">
        <v>34</v>
      </c>
      <c r="E15" s="5" t="s">
        <v>65</v>
      </c>
      <c r="F15" s="5" t="str">
        <f t="shared" si="2"/>
        <v>Coffee Maker- Nespresso</v>
      </c>
      <c r="G15" s="10">
        <v>120</v>
      </c>
      <c r="H15" s="12">
        <f t="shared" si="3"/>
        <v>120</v>
      </c>
      <c r="I15" s="14">
        <v>35</v>
      </c>
      <c r="J15" s="5"/>
      <c r="K15" t="str">
        <f t="shared" si="4"/>
        <v>Kitchen</v>
      </c>
      <c r="M15" s="23" t="s">
        <v>111</v>
      </c>
    </row>
    <row r="16" spans="1:13" ht="15.75" customHeight="1" x14ac:dyDescent="0.25">
      <c r="A16" s="18" t="s">
        <v>69</v>
      </c>
      <c r="B16" s="18" t="str">
        <f t="shared" si="0"/>
        <v>16-04-2026</v>
      </c>
      <c r="C16" s="5" t="str">
        <f t="shared" si="1"/>
        <v>ES</v>
      </c>
      <c r="D16" s="5" t="s">
        <v>44</v>
      </c>
      <c r="E16" s="5" t="s">
        <v>71</v>
      </c>
      <c r="F16" s="5" t="str">
        <f t="shared" si="2"/>
        <v>Headphones- Bose</v>
      </c>
      <c r="G16" s="10">
        <v>250</v>
      </c>
      <c r="H16" s="12">
        <f t="shared" si="3"/>
        <v>250</v>
      </c>
      <c r="I16" s="14">
        <v>20</v>
      </c>
      <c r="J16" s="5" t="s">
        <v>28</v>
      </c>
      <c r="K16" t="str">
        <f t="shared" si="4"/>
        <v>Electronics</v>
      </c>
      <c r="M16" s="23" t="s">
        <v>30</v>
      </c>
    </row>
    <row r="17" spans="1:13" ht="15.75" customHeight="1" x14ac:dyDescent="0.25">
      <c r="A17" s="19" t="s">
        <v>113</v>
      </c>
      <c r="B17" s="18" t="str">
        <f t="shared" si="0"/>
        <v>09-07-2026</v>
      </c>
      <c r="C17" s="5" t="str">
        <f t="shared" si="1"/>
        <v>FR</v>
      </c>
      <c r="D17" s="8" t="s">
        <v>114</v>
      </c>
      <c r="E17" s="8" t="s">
        <v>115</v>
      </c>
      <c r="F17" s="5" t="str">
        <f t="shared" si="2"/>
        <v>Watch- Casio</v>
      </c>
      <c r="G17" s="11">
        <v>100</v>
      </c>
      <c r="H17" s="12">
        <f t="shared" si="3"/>
        <v>100</v>
      </c>
      <c r="I17" s="15">
        <v>20</v>
      </c>
      <c r="J17" s="8" t="s">
        <v>75</v>
      </c>
      <c r="K17" t="str">
        <f t="shared" si="4"/>
        <v>Accessories</v>
      </c>
      <c r="M17" s="23" t="s">
        <v>81</v>
      </c>
    </row>
    <row r="18" spans="1:13" ht="15.75" customHeight="1" x14ac:dyDescent="0.25">
      <c r="A18" s="18" t="s">
        <v>60</v>
      </c>
      <c r="B18" s="18" t="str">
        <f t="shared" si="0"/>
        <v>17-06-2026</v>
      </c>
      <c r="C18" s="5" t="str">
        <f t="shared" si="1"/>
        <v>IN</v>
      </c>
      <c r="D18" s="5" t="s">
        <v>61</v>
      </c>
      <c r="E18" s="5" t="s">
        <v>120</v>
      </c>
      <c r="F18" s="5" t="str">
        <f t="shared" si="2"/>
        <v>Laptop- Hp</v>
      </c>
      <c r="G18" s="10">
        <v>950</v>
      </c>
      <c r="H18" s="12">
        <f t="shared" si="3"/>
        <v>950</v>
      </c>
      <c r="I18" s="14">
        <v>25</v>
      </c>
      <c r="J18" s="5" t="s">
        <v>28</v>
      </c>
      <c r="K18" t="str">
        <f t="shared" si="4"/>
        <v>Electronics</v>
      </c>
      <c r="M18" s="23" t="s">
        <v>119</v>
      </c>
    </row>
    <row r="19" spans="1:13" ht="15.75" customHeight="1" x14ac:dyDescent="0.25">
      <c r="A19" s="19" t="s">
        <v>78</v>
      </c>
      <c r="B19" s="18" t="str">
        <f t="shared" si="0"/>
        <v>27-01-2026</v>
      </c>
      <c r="C19" s="5" t="str">
        <f t="shared" si="1"/>
        <v>IT</v>
      </c>
      <c r="D19" s="8" t="s">
        <v>61</v>
      </c>
      <c r="E19" s="8" t="s">
        <v>79</v>
      </c>
      <c r="F19" s="5" t="str">
        <f t="shared" si="2"/>
        <v>Laptop- Asus</v>
      </c>
      <c r="G19" s="11">
        <v>980</v>
      </c>
      <c r="H19" s="12">
        <f t="shared" si="3"/>
        <v>980</v>
      </c>
      <c r="I19" s="15">
        <v>10</v>
      </c>
      <c r="J19" s="8" t="s">
        <v>28</v>
      </c>
      <c r="K19" t="str">
        <f t="shared" si="4"/>
        <v>Electronics</v>
      </c>
      <c r="M19" s="22" t="s">
        <v>36</v>
      </c>
    </row>
    <row r="20" spans="1:13" ht="15.75" customHeight="1" x14ac:dyDescent="0.25">
      <c r="A20" s="18" t="s">
        <v>86</v>
      </c>
      <c r="B20" s="18" t="str">
        <f t="shared" si="0"/>
        <v>14-05-2026</v>
      </c>
      <c r="C20" s="5" t="str">
        <f t="shared" si="1"/>
        <v>RU</v>
      </c>
      <c r="D20" s="5" t="s">
        <v>87</v>
      </c>
      <c r="E20" s="5" t="s">
        <v>88</v>
      </c>
      <c r="F20" s="5" t="str">
        <f t="shared" si="2"/>
        <v>Camera- Nikon</v>
      </c>
      <c r="G20" s="10">
        <v>700</v>
      </c>
      <c r="H20" s="12">
        <f t="shared" si="3"/>
        <v>700</v>
      </c>
      <c r="I20" s="14">
        <v>50</v>
      </c>
      <c r="J20" s="5" t="s">
        <v>28</v>
      </c>
      <c r="K20" t="str">
        <f t="shared" si="4"/>
        <v>Electronics</v>
      </c>
      <c r="M20" s="23" t="s">
        <v>51</v>
      </c>
    </row>
    <row r="21" spans="1:13" ht="15.75" customHeight="1" x14ac:dyDescent="0.25">
      <c r="A21" s="18" t="s">
        <v>80</v>
      </c>
      <c r="B21" s="18" t="str">
        <f t="shared" si="0"/>
        <v>01-03-2026</v>
      </c>
      <c r="C21" s="5" t="str">
        <f t="shared" si="1"/>
        <v>UK</v>
      </c>
      <c r="D21" s="5" t="s">
        <v>81</v>
      </c>
      <c r="E21" s="5" t="s">
        <v>82</v>
      </c>
      <c r="F21" s="5" t="str">
        <f t="shared" si="2"/>
        <v>Sunglasses- Oakley</v>
      </c>
      <c r="G21" s="10">
        <v>150</v>
      </c>
      <c r="H21" s="12">
        <f t="shared" si="3"/>
        <v>150</v>
      </c>
      <c r="I21" s="14">
        <v>15</v>
      </c>
      <c r="J21" s="5" t="s">
        <v>32</v>
      </c>
      <c r="K21" t="str">
        <f t="shared" si="4"/>
        <v>Fashion</v>
      </c>
      <c r="M21" s="23" t="s">
        <v>34</v>
      </c>
    </row>
    <row r="22" spans="1:13" ht="15.75" customHeight="1" x14ac:dyDescent="0.25">
      <c r="A22" s="18" t="s">
        <v>53</v>
      </c>
      <c r="B22" s="18" t="str">
        <f t="shared" si="0"/>
        <v>05-09-2026</v>
      </c>
      <c r="C22" s="5" t="str">
        <f t="shared" si="1"/>
        <v>UK</v>
      </c>
      <c r="D22" s="5" t="s">
        <v>54</v>
      </c>
      <c r="E22" s="5" t="s">
        <v>55</v>
      </c>
      <c r="F22" s="5" t="str">
        <f t="shared" si="2"/>
        <v>Tablet- Apple</v>
      </c>
      <c r="G22" s="10">
        <v>500</v>
      </c>
      <c r="H22" s="12">
        <f t="shared" si="3"/>
        <v>500</v>
      </c>
      <c r="I22" s="14">
        <v>50</v>
      </c>
      <c r="J22" s="5" t="s">
        <v>28</v>
      </c>
      <c r="K22" t="str">
        <f t="shared" si="4"/>
        <v>Electronics</v>
      </c>
      <c r="M22" s="23" t="s">
        <v>90</v>
      </c>
    </row>
    <row r="23" spans="1:13" ht="15.75" customHeight="1" x14ac:dyDescent="0.25">
      <c r="A23" s="19" t="s">
        <v>43</v>
      </c>
      <c r="B23" s="18" t="str">
        <f t="shared" si="0"/>
        <v>07-06-2026</v>
      </c>
      <c r="C23" s="5" t="str">
        <f t="shared" si="1"/>
        <v>UK</v>
      </c>
      <c r="D23" s="8" t="s">
        <v>44</v>
      </c>
      <c r="E23" s="8" t="s">
        <v>45</v>
      </c>
      <c r="F23" s="5" t="str">
        <f t="shared" si="2"/>
        <v>Headphones- Sony</v>
      </c>
      <c r="G23" s="11"/>
      <c r="H23" s="12">
        <f t="shared" si="3"/>
        <v>250</v>
      </c>
      <c r="I23" s="15">
        <v>45</v>
      </c>
      <c r="J23" s="8" t="s">
        <v>28</v>
      </c>
      <c r="K23" t="str">
        <f t="shared" si="4"/>
        <v>Electronics</v>
      </c>
      <c r="M23" s="23" t="s">
        <v>106</v>
      </c>
    </row>
    <row r="24" spans="1:13" ht="15.75" customHeight="1" x14ac:dyDescent="0.25">
      <c r="A24" s="19" t="s">
        <v>56</v>
      </c>
      <c r="B24" s="18" t="str">
        <f t="shared" si="0"/>
        <v>14-10-2026</v>
      </c>
      <c r="C24" s="5" t="str">
        <f t="shared" si="1"/>
        <v>UK</v>
      </c>
      <c r="D24" s="8" t="s">
        <v>57</v>
      </c>
      <c r="E24" s="8" t="s">
        <v>58</v>
      </c>
      <c r="F24" s="5" t="str">
        <f t="shared" si="2"/>
        <v>Hiking Boots- Timberland</v>
      </c>
      <c r="G24" s="11">
        <v>130</v>
      </c>
      <c r="H24" s="12">
        <f t="shared" si="3"/>
        <v>130</v>
      </c>
      <c r="I24" s="15">
        <v>10</v>
      </c>
      <c r="J24" s="8" t="s">
        <v>59</v>
      </c>
      <c r="K24" t="str">
        <f t="shared" si="4"/>
        <v>Outdoor</v>
      </c>
      <c r="M24" s="22" t="s">
        <v>59</v>
      </c>
    </row>
    <row r="25" spans="1:13" ht="15.75" customHeight="1" x14ac:dyDescent="0.25">
      <c r="A25" s="18" t="s">
        <v>47</v>
      </c>
      <c r="B25" s="18" t="str">
        <f t="shared" si="0"/>
        <v>19-07-2026</v>
      </c>
      <c r="C25" s="5" t="str">
        <f t="shared" si="1"/>
        <v>UK</v>
      </c>
      <c r="D25" s="5" t="s">
        <v>119</v>
      </c>
      <c r="E25" s="5" t="s">
        <v>49</v>
      </c>
      <c r="F25" s="5" t="str">
        <f t="shared" si="2"/>
        <v>T-Shirt- Adidas</v>
      </c>
      <c r="G25" s="10">
        <v>30</v>
      </c>
      <c r="H25" s="12">
        <f t="shared" si="3"/>
        <v>30</v>
      </c>
      <c r="I25" s="14">
        <v>5</v>
      </c>
      <c r="J25" s="5" t="s">
        <v>32</v>
      </c>
      <c r="K25" t="str">
        <f t="shared" si="4"/>
        <v>Fashion</v>
      </c>
      <c r="M25" s="23" t="s">
        <v>84</v>
      </c>
    </row>
    <row r="26" spans="1:13" ht="15.75" customHeight="1" x14ac:dyDescent="0.25">
      <c r="A26" s="19" t="s">
        <v>50</v>
      </c>
      <c r="B26" s="18" t="str">
        <f t="shared" si="0"/>
        <v>23-08-2026</v>
      </c>
      <c r="C26" s="5" t="str">
        <f t="shared" si="1"/>
        <v>UK</v>
      </c>
      <c r="D26" s="8" t="s">
        <v>51</v>
      </c>
      <c r="E26" s="8" t="s">
        <v>52</v>
      </c>
      <c r="F26" s="5" t="str">
        <f t="shared" si="2"/>
        <v>Blender- Ninja</v>
      </c>
      <c r="G26" s="11">
        <v>90</v>
      </c>
      <c r="H26" s="12">
        <f t="shared" si="3"/>
        <v>90</v>
      </c>
      <c r="I26" s="15">
        <v>35</v>
      </c>
      <c r="J26" s="8" t="s">
        <v>36</v>
      </c>
      <c r="K26" t="str">
        <f t="shared" si="4"/>
        <v>Kitchen</v>
      </c>
      <c r="M26" s="23" t="s">
        <v>57</v>
      </c>
    </row>
    <row r="27" spans="1:13" ht="15.75" customHeight="1" x14ac:dyDescent="0.25">
      <c r="A27" s="18" t="s">
        <v>33</v>
      </c>
      <c r="B27" s="18" t="str">
        <f t="shared" si="0"/>
        <v>03-03-2026</v>
      </c>
      <c r="C27" s="5" t="str">
        <f t="shared" si="1"/>
        <v>US</v>
      </c>
      <c r="D27" s="5" t="s">
        <v>34</v>
      </c>
      <c r="E27" s="5" t="s">
        <v>35</v>
      </c>
      <c r="F27" s="5" t="str">
        <f t="shared" si="2"/>
        <v>Coffee Maker- Keurig</v>
      </c>
      <c r="G27" s="10">
        <v>130</v>
      </c>
      <c r="H27" s="12">
        <f t="shared" si="3"/>
        <v>130</v>
      </c>
      <c r="I27" s="14">
        <v>40</v>
      </c>
      <c r="J27" s="5" t="s">
        <v>36</v>
      </c>
      <c r="K27" t="str">
        <f t="shared" si="4"/>
        <v>Kitchen</v>
      </c>
      <c r="M27" s="22" t="s">
        <v>197</v>
      </c>
    </row>
    <row r="28" spans="1:13" ht="15.75" customHeight="1" x14ac:dyDescent="0.25">
      <c r="A28" s="19" t="s">
        <v>37</v>
      </c>
      <c r="B28" s="18" t="str">
        <f t="shared" si="0"/>
        <v>11-04-2026</v>
      </c>
      <c r="C28" s="5" t="str">
        <f t="shared" si="1"/>
        <v>US</v>
      </c>
      <c r="D28" s="8" t="s">
        <v>96</v>
      </c>
      <c r="E28" s="8" t="s">
        <v>39</v>
      </c>
      <c r="F28" s="5" t="str">
        <f t="shared" si="2"/>
        <v>Smartphone- Samsung</v>
      </c>
      <c r="G28" s="11">
        <v>900</v>
      </c>
      <c r="H28" s="12">
        <f t="shared" si="3"/>
        <v>900</v>
      </c>
      <c r="I28" s="15">
        <v>25</v>
      </c>
      <c r="J28" s="8" t="s">
        <v>28</v>
      </c>
      <c r="K28" t="str">
        <f t="shared" si="4"/>
        <v>Electronics</v>
      </c>
      <c r="M28" s="23" t="s">
        <v>41</v>
      </c>
    </row>
    <row r="29" spans="1:13" ht="15.75" customHeight="1" x14ac:dyDescent="0.25">
      <c r="A29" s="19" t="s">
        <v>83</v>
      </c>
      <c r="B29" s="18" t="str">
        <f t="shared" si="0"/>
        <v>14-08-2026</v>
      </c>
      <c r="C29" s="5" t="str">
        <f t="shared" si="1"/>
        <v>US</v>
      </c>
      <c r="D29" s="8" t="s">
        <v>84</v>
      </c>
      <c r="E29" s="8" t="s">
        <v>85</v>
      </c>
      <c r="F29" s="5" t="str">
        <f t="shared" si="2"/>
        <v>Camping Tent- Coleman</v>
      </c>
      <c r="G29" s="11"/>
      <c r="H29" s="12">
        <f t="shared" si="3"/>
        <v>130</v>
      </c>
      <c r="I29" s="15">
        <v>10</v>
      </c>
      <c r="J29" s="8" t="s">
        <v>59</v>
      </c>
      <c r="K29" t="str">
        <f t="shared" si="4"/>
        <v>Outdoor</v>
      </c>
      <c r="M29" s="23" t="s">
        <v>34</v>
      </c>
    </row>
    <row r="30" spans="1:13" ht="15.75" customHeight="1" x14ac:dyDescent="0.25">
      <c r="A30" s="19" t="s">
        <v>29</v>
      </c>
      <c r="B30" s="18" t="str">
        <f t="shared" si="0"/>
        <v>15-02-2026</v>
      </c>
      <c r="C30" s="5" t="str">
        <f t="shared" si="1"/>
        <v>US</v>
      </c>
      <c r="D30" s="8" t="s">
        <v>30</v>
      </c>
      <c r="E30" s="8" t="s">
        <v>31</v>
      </c>
      <c r="F30" s="5" t="str">
        <f t="shared" si="2"/>
        <v>Sneakers- Nike</v>
      </c>
      <c r="G30" s="11">
        <v>80</v>
      </c>
      <c r="H30" s="12">
        <f t="shared" si="3"/>
        <v>80</v>
      </c>
      <c r="I30" s="15">
        <v>15</v>
      </c>
      <c r="J30" s="8" t="s">
        <v>32</v>
      </c>
      <c r="K30" t="str">
        <f t="shared" si="4"/>
        <v>Fashion</v>
      </c>
      <c r="M30" s="23" t="s">
        <v>93</v>
      </c>
    </row>
    <row r="31" spans="1:13" ht="15.75" customHeight="1" x14ac:dyDescent="0.25">
      <c r="A31" s="18" t="s">
        <v>40</v>
      </c>
      <c r="B31" s="18" t="str">
        <f t="shared" si="0"/>
        <v>22-05-2026</v>
      </c>
      <c r="C31" s="5" t="str">
        <f t="shared" si="1"/>
        <v>US</v>
      </c>
      <c r="D31" s="5" t="s">
        <v>41</v>
      </c>
      <c r="E31" s="5" t="s">
        <v>42</v>
      </c>
      <c r="F31" s="5" t="str">
        <f t="shared" si="2"/>
        <v>Backpack- North Face</v>
      </c>
      <c r="G31" s="10">
        <v>70</v>
      </c>
      <c r="H31" s="12">
        <f t="shared" si="3"/>
        <v>70</v>
      </c>
      <c r="I31" s="14">
        <v>20</v>
      </c>
      <c r="J31" s="5"/>
      <c r="K31" t="str">
        <f t="shared" si="4"/>
        <v>Unknown</v>
      </c>
      <c r="M31" s="23" t="s">
        <v>30</v>
      </c>
    </row>
    <row r="32" spans="1:13" ht="15.75" customHeight="1" x14ac:dyDescent="0.25">
      <c r="A32" s="18" t="s">
        <v>25</v>
      </c>
      <c r="B32" s="18" t="str">
        <f t="shared" si="0"/>
        <v>28-01-2026</v>
      </c>
      <c r="C32" s="5" t="str">
        <f t="shared" si="1"/>
        <v>US</v>
      </c>
      <c r="D32" s="5" t="s">
        <v>61</v>
      </c>
      <c r="E32" s="5" t="s">
        <v>27</v>
      </c>
      <c r="F32" s="5" t="str">
        <f t="shared" si="2"/>
        <v>Laptop- Dell</v>
      </c>
      <c r="G32" s="10">
        <v>1000</v>
      </c>
      <c r="H32" s="12">
        <f t="shared" si="3"/>
        <v>1000</v>
      </c>
      <c r="I32" s="14">
        <v>30</v>
      </c>
      <c r="J32" s="5" t="s">
        <v>28</v>
      </c>
      <c r="K32" t="str">
        <f t="shared" si="4"/>
        <v>Electronics</v>
      </c>
      <c r="M32" s="22" t="s">
        <v>196</v>
      </c>
    </row>
    <row r="33" spans="1:9" ht="15.75" customHeight="1" x14ac:dyDescent="0.25">
      <c r="A33"/>
      <c r="B33"/>
      <c r="G33"/>
      <c r="H33"/>
      <c r="I33"/>
    </row>
    <row r="34" spans="1:9" ht="15.75" customHeight="1" x14ac:dyDescent="0.25">
      <c r="A34"/>
      <c r="B34"/>
      <c r="G34"/>
      <c r="H34"/>
      <c r="I34"/>
    </row>
    <row r="35" spans="1:9" ht="15.75" customHeight="1" x14ac:dyDescent="0.25">
      <c r="A35"/>
      <c r="B35"/>
      <c r="G35"/>
      <c r="H35"/>
      <c r="I35"/>
    </row>
    <row r="36" spans="1:9" ht="15.75" customHeight="1" x14ac:dyDescent="0.25"/>
    <row r="37" spans="1:9" ht="15.75" customHeight="1" x14ac:dyDescent="0.25"/>
    <row r="38" spans="1:9" ht="15.75" customHeight="1" x14ac:dyDescent="0.25"/>
    <row r="39" spans="1:9" ht="15.75" customHeight="1" x14ac:dyDescent="0.25"/>
    <row r="40" spans="1:9" ht="15.75" customHeight="1" x14ac:dyDescent="0.25"/>
    <row r="41" spans="1:9" ht="15.75" customHeight="1" x14ac:dyDescent="0.25"/>
    <row r="42" spans="1:9" ht="15.75" customHeight="1" x14ac:dyDescent="0.25"/>
    <row r="43" spans="1:9" ht="15.75" customHeight="1" x14ac:dyDescent="0.25"/>
    <row r="44" spans="1:9" ht="15.75" customHeight="1" x14ac:dyDescent="0.25"/>
    <row r="45" spans="1:9" ht="15.75" customHeight="1" x14ac:dyDescent="0.25"/>
    <row r="46" spans="1:9" ht="15.75" customHeight="1" x14ac:dyDescent="0.25"/>
    <row r="47" spans="1:9" ht="15.75" customHeight="1" x14ac:dyDescent="0.25"/>
    <row r="48" spans="1:9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honeticPr fontId="9" type="noConversion"/>
  <conditionalFormatting sqref="M2:M1048576">
    <cfRule type="containsText" dxfId="15" priority="1" operator="containsText" text="Fitness Tracker">
      <formula>NOT(ISERROR(SEARCH("Fitness Tracker",M2)))</formula>
    </cfRule>
    <cfRule type="containsText" dxfId="14" priority="2" operator="containsText" text="Coffee Maker">
      <formula>NOT(ISERROR(SEARCH("Coffee Maker",M2)))</formula>
    </cfRule>
    <cfRule type="cellIs" dxfId="13" priority="3" operator="equal">
      <formula>"Backpack"</formula>
    </cfRule>
    <cfRule type="containsText" dxfId="12" priority="4" operator="containsText" text="Sneakers">
      <formula>NOT(ISERROR(SEARCH("Sneakers",M2)))</formula>
    </cfRule>
  </conditionalFormatting>
  <pageMargins left="0.7" right="0.7" top="0.75" bottom="0.75" header="0.3" footer="0.3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445F4-F8F7-4951-AA48-4CEC26743B11}">
  <sheetPr>
    <tabColor rgb="FF92D050"/>
  </sheetPr>
  <dimension ref="A1:P32"/>
  <sheetViews>
    <sheetView tabSelected="1" workbookViewId="0">
      <selection activeCell="A2" sqref="A2"/>
    </sheetView>
  </sheetViews>
  <sheetFormatPr defaultRowHeight="13.2" x14ac:dyDescent="0.25"/>
  <cols>
    <col min="1" max="1" width="22.21875" style="20" bestFit="1" customWidth="1"/>
    <col min="2" max="2" width="16.77734375" bestFit="1" customWidth="1"/>
    <col min="3" max="3" width="22.109375" bestFit="1" customWidth="1"/>
    <col min="4" max="4" width="13.44140625" style="12" customWidth="1"/>
    <col min="5" max="5" width="14" style="16" customWidth="1"/>
    <col min="6" max="6" width="18.5546875" customWidth="1"/>
    <col min="16" max="16" width="15" customWidth="1"/>
  </cols>
  <sheetData>
    <row r="1" spans="1:16" ht="16.05" customHeight="1" x14ac:dyDescent="0.25">
      <c r="A1" s="27" t="s">
        <v>117</v>
      </c>
      <c r="B1" s="25" t="s">
        <v>116</v>
      </c>
      <c r="C1" s="25" t="s">
        <v>118</v>
      </c>
      <c r="D1" s="29" t="s">
        <v>201</v>
      </c>
      <c r="E1" s="31" t="s">
        <v>23</v>
      </c>
      <c r="F1" s="25" t="s">
        <v>24</v>
      </c>
      <c r="H1" s="33" t="s">
        <v>202</v>
      </c>
      <c r="I1" s="34"/>
      <c r="J1" s="34"/>
      <c r="K1" s="34"/>
      <c r="L1" s="34"/>
      <c r="M1" s="34"/>
      <c r="N1" s="34"/>
      <c r="O1" s="34"/>
      <c r="P1" s="35"/>
    </row>
    <row r="2" spans="1:16" ht="13.8" x14ac:dyDescent="0.25">
      <c r="A2" s="28" t="s">
        <v>134</v>
      </c>
      <c r="B2" s="26" t="s">
        <v>156</v>
      </c>
      <c r="C2" s="26" t="s">
        <v>176</v>
      </c>
      <c r="D2" s="30">
        <v>90</v>
      </c>
      <c r="E2" s="32">
        <v>40</v>
      </c>
      <c r="F2" s="26" t="s">
        <v>32</v>
      </c>
      <c r="H2" s="36" t="s">
        <v>217</v>
      </c>
      <c r="I2" s="37"/>
      <c r="J2" s="37"/>
      <c r="K2" s="37"/>
      <c r="L2" s="37"/>
      <c r="M2" s="37"/>
      <c r="N2" s="37"/>
      <c r="O2" s="37"/>
      <c r="P2" s="38"/>
    </row>
    <row r="3" spans="1:16" x14ac:dyDescent="0.25">
      <c r="A3" s="28" t="s">
        <v>129</v>
      </c>
      <c r="B3" s="26" t="s">
        <v>163</v>
      </c>
      <c r="C3" s="26" t="s">
        <v>187</v>
      </c>
      <c r="D3" s="30">
        <v>150</v>
      </c>
      <c r="E3" s="32">
        <v>30</v>
      </c>
      <c r="F3" s="26" t="s">
        <v>28</v>
      </c>
      <c r="H3" s="36" t="s">
        <v>203</v>
      </c>
      <c r="I3" s="37"/>
      <c r="J3" s="37"/>
      <c r="K3" s="37"/>
      <c r="L3" s="37"/>
      <c r="M3" s="37"/>
      <c r="N3" s="37"/>
      <c r="O3" s="37"/>
      <c r="P3" s="38"/>
    </row>
    <row r="4" spans="1:16" x14ac:dyDescent="0.25">
      <c r="A4" s="28" t="s">
        <v>151</v>
      </c>
      <c r="B4" s="26" t="s">
        <v>158</v>
      </c>
      <c r="C4" s="26" t="s">
        <v>194</v>
      </c>
      <c r="D4" s="30">
        <v>50</v>
      </c>
      <c r="E4" s="32">
        <v>50</v>
      </c>
      <c r="F4" s="26" t="s">
        <v>32</v>
      </c>
      <c r="H4" s="36" t="s">
        <v>211</v>
      </c>
      <c r="I4" s="37"/>
      <c r="J4" s="37"/>
      <c r="K4" s="37"/>
      <c r="L4" s="37"/>
      <c r="M4" s="37"/>
      <c r="N4" s="37"/>
      <c r="O4" s="37"/>
      <c r="P4" s="38"/>
    </row>
    <row r="5" spans="1:16" ht="13.8" x14ac:dyDescent="0.25">
      <c r="A5" s="28" t="s">
        <v>146</v>
      </c>
      <c r="B5" s="26" t="s">
        <v>158</v>
      </c>
      <c r="C5" s="26" t="s">
        <v>189</v>
      </c>
      <c r="D5" s="30">
        <v>150</v>
      </c>
      <c r="E5" s="32">
        <v>25</v>
      </c>
      <c r="F5" s="26" t="s">
        <v>32</v>
      </c>
      <c r="H5" s="36" t="s">
        <v>216</v>
      </c>
      <c r="I5" s="37"/>
      <c r="J5" s="37"/>
      <c r="K5" s="37"/>
      <c r="L5" s="37"/>
      <c r="M5" s="37"/>
      <c r="N5" s="37"/>
      <c r="O5" s="37"/>
      <c r="P5" s="38"/>
    </row>
    <row r="6" spans="1:16" x14ac:dyDescent="0.25">
      <c r="A6" s="28" t="s">
        <v>148</v>
      </c>
      <c r="B6" s="26" t="s">
        <v>158</v>
      </c>
      <c r="C6" s="26" t="s">
        <v>191</v>
      </c>
      <c r="D6" s="30">
        <v>60</v>
      </c>
      <c r="E6" s="32">
        <v>30</v>
      </c>
      <c r="F6" s="26" t="s">
        <v>32</v>
      </c>
      <c r="H6" s="36" t="s">
        <v>204</v>
      </c>
      <c r="I6" s="37"/>
      <c r="J6" s="37"/>
      <c r="K6" s="37"/>
      <c r="L6" s="37"/>
      <c r="M6" s="37"/>
      <c r="N6" s="37"/>
      <c r="O6" s="37"/>
      <c r="P6" s="38"/>
    </row>
    <row r="7" spans="1:16" ht="13.8" x14ac:dyDescent="0.25">
      <c r="A7" s="28" t="s">
        <v>144</v>
      </c>
      <c r="B7" s="26" t="s">
        <v>158</v>
      </c>
      <c r="C7" s="26" t="s">
        <v>186</v>
      </c>
      <c r="D7" s="30">
        <v>80</v>
      </c>
      <c r="E7" s="32">
        <v>20</v>
      </c>
      <c r="F7" s="26" t="s">
        <v>36</v>
      </c>
      <c r="H7" s="36" t="s">
        <v>215</v>
      </c>
      <c r="I7" s="37"/>
      <c r="J7" s="37"/>
      <c r="K7" s="37"/>
      <c r="L7" s="37"/>
      <c r="M7" s="37"/>
      <c r="N7" s="37"/>
      <c r="O7" s="37"/>
      <c r="P7" s="38"/>
    </row>
    <row r="8" spans="1:16" ht="16.8" customHeight="1" x14ac:dyDescent="0.25">
      <c r="A8" s="28" t="s">
        <v>147</v>
      </c>
      <c r="B8" s="26" t="s">
        <v>158</v>
      </c>
      <c r="C8" s="26" t="s">
        <v>190</v>
      </c>
      <c r="D8" s="30">
        <v>400</v>
      </c>
      <c r="E8" s="32">
        <v>40</v>
      </c>
      <c r="F8" s="26" t="s">
        <v>36</v>
      </c>
      <c r="H8" s="36" t="s">
        <v>205</v>
      </c>
      <c r="I8" s="37"/>
      <c r="J8" s="37"/>
      <c r="K8" s="37"/>
      <c r="L8" s="37"/>
      <c r="M8" s="37"/>
      <c r="N8" s="37"/>
      <c r="O8" s="37"/>
      <c r="P8" s="38"/>
    </row>
    <row r="9" spans="1:16" x14ac:dyDescent="0.25">
      <c r="A9" s="28" t="s">
        <v>149</v>
      </c>
      <c r="B9" s="26" t="s">
        <v>158</v>
      </c>
      <c r="C9" s="26" t="s">
        <v>192</v>
      </c>
      <c r="D9" s="30">
        <v>40</v>
      </c>
      <c r="E9" s="32">
        <v>10</v>
      </c>
      <c r="F9" s="26" t="s">
        <v>36</v>
      </c>
      <c r="H9" s="36" t="s">
        <v>206</v>
      </c>
      <c r="I9" s="37"/>
      <c r="J9" s="37"/>
      <c r="K9" s="37"/>
      <c r="L9" s="37"/>
      <c r="M9" s="37"/>
      <c r="N9" s="37"/>
      <c r="O9" s="37"/>
      <c r="P9" s="38"/>
    </row>
    <row r="10" spans="1:16" x14ac:dyDescent="0.25">
      <c r="A10" s="28" t="s">
        <v>136</v>
      </c>
      <c r="B10" s="26" t="s">
        <v>158</v>
      </c>
      <c r="C10" s="26" t="s">
        <v>178</v>
      </c>
      <c r="D10" s="30">
        <v>150</v>
      </c>
      <c r="E10" s="32">
        <v>15</v>
      </c>
      <c r="F10" s="26" t="s">
        <v>28</v>
      </c>
      <c r="H10" s="36" t="s">
        <v>207</v>
      </c>
      <c r="I10" s="37"/>
      <c r="J10" s="37"/>
      <c r="K10" s="37"/>
      <c r="L10" s="37"/>
      <c r="M10" s="37"/>
      <c r="N10" s="37"/>
      <c r="O10" s="37"/>
      <c r="P10" s="38"/>
    </row>
    <row r="11" spans="1:16" ht="13.8" x14ac:dyDescent="0.25">
      <c r="A11" s="28" t="s">
        <v>138</v>
      </c>
      <c r="B11" s="26" t="s">
        <v>158</v>
      </c>
      <c r="C11" s="26" t="s">
        <v>180</v>
      </c>
      <c r="D11" s="30">
        <v>50</v>
      </c>
      <c r="E11" s="32">
        <v>35</v>
      </c>
      <c r="F11" s="26" t="s">
        <v>75</v>
      </c>
      <c r="H11" s="36" t="s">
        <v>214</v>
      </c>
      <c r="I11" s="37"/>
      <c r="J11" s="37"/>
      <c r="K11" s="37"/>
      <c r="L11" s="37"/>
      <c r="M11" s="37"/>
      <c r="N11" s="37"/>
      <c r="O11" s="37"/>
      <c r="P11" s="38"/>
    </row>
    <row r="12" spans="1:16" ht="16.05" customHeight="1" x14ac:dyDescent="0.25">
      <c r="A12" s="28" t="s">
        <v>150</v>
      </c>
      <c r="B12" s="26" t="s">
        <v>158</v>
      </c>
      <c r="C12" s="26" t="s">
        <v>193</v>
      </c>
      <c r="D12" s="30">
        <v>130</v>
      </c>
      <c r="E12" s="32">
        <v>5</v>
      </c>
      <c r="F12" s="26" t="s">
        <v>28</v>
      </c>
      <c r="H12" s="36" t="s">
        <v>208</v>
      </c>
      <c r="I12" s="37"/>
      <c r="J12" s="37"/>
      <c r="K12" s="37"/>
      <c r="L12" s="37"/>
      <c r="M12" s="37"/>
      <c r="N12" s="37"/>
      <c r="O12" s="37"/>
      <c r="P12" s="38"/>
    </row>
    <row r="13" spans="1:16" x14ac:dyDescent="0.25">
      <c r="A13" s="28" t="s">
        <v>145</v>
      </c>
      <c r="B13" s="26" t="s">
        <v>158</v>
      </c>
      <c r="C13" s="26" t="s">
        <v>188</v>
      </c>
      <c r="D13" s="30">
        <v>800</v>
      </c>
      <c r="E13" s="32">
        <v>45</v>
      </c>
      <c r="F13" s="26" t="s">
        <v>28</v>
      </c>
      <c r="H13" s="36" t="s">
        <v>218</v>
      </c>
      <c r="I13" s="37"/>
      <c r="J13" s="37"/>
      <c r="K13" s="37"/>
      <c r="L13" s="37"/>
      <c r="M13" s="37"/>
      <c r="N13" s="37"/>
      <c r="O13" s="37"/>
      <c r="P13" s="38"/>
    </row>
    <row r="14" spans="1:16" x14ac:dyDescent="0.25">
      <c r="A14" s="28" t="s">
        <v>139</v>
      </c>
      <c r="B14" s="26" t="s">
        <v>160</v>
      </c>
      <c r="C14" s="26" t="s">
        <v>181</v>
      </c>
      <c r="D14" s="30">
        <v>160</v>
      </c>
      <c r="E14" s="32">
        <v>15</v>
      </c>
      <c r="F14" s="26" t="s">
        <v>28</v>
      </c>
      <c r="H14" s="36" t="s">
        <v>210</v>
      </c>
      <c r="I14" s="37"/>
      <c r="J14" s="37"/>
      <c r="K14" s="37"/>
      <c r="L14" s="37"/>
      <c r="M14" s="37"/>
      <c r="N14" s="37"/>
      <c r="O14" s="37"/>
      <c r="P14" s="38"/>
    </row>
    <row r="15" spans="1:16" x14ac:dyDescent="0.25">
      <c r="A15" s="28" t="s">
        <v>135</v>
      </c>
      <c r="B15" s="26" t="s">
        <v>157</v>
      </c>
      <c r="C15" s="26" t="s">
        <v>177</v>
      </c>
      <c r="D15" s="30">
        <v>120</v>
      </c>
      <c r="E15" s="32">
        <v>35</v>
      </c>
      <c r="F15" s="26" t="s">
        <v>36</v>
      </c>
      <c r="H15" s="36" t="s">
        <v>209</v>
      </c>
      <c r="I15" s="37"/>
      <c r="J15" s="37"/>
      <c r="K15" s="37"/>
      <c r="L15" s="37"/>
      <c r="M15" s="37"/>
      <c r="N15" s="37"/>
      <c r="O15" s="37"/>
      <c r="P15" s="38"/>
    </row>
    <row r="16" spans="1:16" ht="13.8" x14ac:dyDescent="0.25">
      <c r="A16" s="28" t="s">
        <v>137</v>
      </c>
      <c r="B16" s="26" t="s">
        <v>159</v>
      </c>
      <c r="C16" s="26" t="s">
        <v>179</v>
      </c>
      <c r="D16" s="30">
        <v>250</v>
      </c>
      <c r="E16" s="32">
        <v>20</v>
      </c>
      <c r="F16" s="26" t="s">
        <v>28</v>
      </c>
      <c r="H16" s="36" t="s">
        <v>213</v>
      </c>
      <c r="I16" s="37"/>
      <c r="J16" s="37"/>
      <c r="K16" s="37"/>
      <c r="L16" s="37"/>
      <c r="M16" s="37"/>
      <c r="N16" s="37"/>
      <c r="O16" s="37"/>
      <c r="P16" s="38"/>
    </row>
    <row r="17" spans="1:16" x14ac:dyDescent="0.25">
      <c r="A17" s="28" t="s">
        <v>152</v>
      </c>
      <c r="B17" s="26" t="s">
        <v>164</v>
      </c>
      <c r="C17" s="26" t="s">
        <v>195</v>
      </c>
      <c r="D17" s="30">
        <v>100</v>
      </c>
      <c r="E17" s="32">
        <v>20</v>
      </c>
      <c r="F17" s="26" t="s">
        <v>75</v>
      </c>
      <c r="H17" s="39" t="s">
        <v>212</v>
      </c>
      <c r="I17" s="40"/>
      <c r="J17" s="40"/>
      <c r="K17" s="40"/>
      <c r="L17" s="40"/>
      <c r="M17" s="40"/>
      <c r="N17" s="40"/>
      <c r="O17" s="40"/>
      <c r="P17" s="41"/>
    </row>
    <row r="18" spans="1:16" x14ac:dyDescent="0.25">
      <c r="A18" s="28" t="s">
        <v>133</v>
      </c>
      <c r="B18" s="26" t="s">
        <v>155</v>
      </c>
      <c r="C18" s="26" t="s">
        <v>175</v>
      </c>
      <c r="D18" s="30">
        <v>950</v>
      </c>
      <c r="E18" s="32">
        <v>25</v>
      </c>
      <c r="F18" s="26" t="s">
        <v>28</v>
      </c>
    </row>
    <row r="19" spans="1:16" x14ac:dyDescent="0.25">
      <c r="A19" s="28" t="s">
        <v>140</v>
      </c>
      <c r="B19" s="26" t="s">
        <v>161</v>
      </c>
      <c r="C19" s="26" t="s">
        <v>182</v>
      </c>
      <c r="D19" s="30">
        <v>980</v>
      </c>
      <c r="E19" s="32">
        <v>10</v>
      </c>
      <c r="F19" s="26" t="s">
        <v>28</v>
      </c>
    </row>
    <row r="20" spans="1:16" x14ac:dyDescent="0.25">
      <c r="A20" s="28" t="s">
        <v>143</v>
      </c>
      <c r="B20" s="26" t="s">
        <v>162</v>
      </c>
      <c r="C20" s="26" t="s">
        <v>185</v>
      </c>
      <c r="D20" s="30">
        <v>700</v>
      </c>
      <c r="E20" s="32">
        <v>50</v>
      </c>
      <c r="F20" s="26" t="s">
        <v>28</v>
      </c>
    </row>
    <row r="21" spans="1:16" x14ac:dyDescent="0.25">
      <c r="A21" s="28" t="s">
        <v>141</v>
      </c>
      <c r="B21" s="26" t="s">
        <v>154</v>
      </c>
      <c r="C21" s="26" t="s">
        <v>183</v>
      </c>
      <c r="D21" s="30">
        <v>150</v>
      </c>
      <c r="E21" s="32">
        <v>15</v>
      </c>
      <c r="F21" s="26" t="s">
        <v>32</v>
      </c>
    </row>
    <row r="22" spans="1:16" x14ac:dyDescent="0.25">
      <c r="A22" s="28" t="s">
        <v>131</v>
      </c>
      <c r="B22" s="26" t="s">
        <v>154</v>
      </c>
      <c r="C22" s="26" t="s">
        <v>173</v>
      </c>
      <c r="D22" s="30">
        <v>500</v>
      </c>
      <c r="E22" s="32">
        <v>50</v>
      </c>
      <c r="F22" s="26" t="s">
        <v>28</v>
      </c>
    </row>
    <row r="23" spans="1:16" x14ac:dyDescent="0.25">
      <c r="A23" s="28" t="s">
        <v>128</v>
      </c>
      <c r="B23" s="26" t="s">
        <v>154</v>
      </c>
      <c r="C23" s="26" t="s">
        <v>170</v>
      </c>
      <c r="D23" s="30">
        <v>250</v>
      </c>
      <c r="E23" s="32">
        <v>45</v>
      </c>
      <c r="F23" s="26" t="s">
        <v>28</v>
      </c>
    </row>
    <row r="24" spans="1:16" x14ac:dyDescent="0.25">
      <c r="A24" s="28" t="s">
        <v>132</v>
      </c>
      <c r="B24" s="26" t="s">
        <v>154</v>
      </c>
      <c r="C24" s="26" t="s">
        <v>174</v>
      </c>
      <c r="D24" s="30">
        <v>130</v>
      </c>
      <c r="E24" s="32">
        <v>10</v>
      </c>
      <c r="F24" s="26" t="s">
        <v>59</v>
      </c>
    </row>
    <row r="25" spans="1:16" x14ac:dyDescent="0.25">
      <c r="A25" s="28" t="s">
        <v>129</v>
      </c>
      <c r="B25" s="26" t="s">
        <v>154</v>
      </c>
      <c r="C25" s="26" t="s">
        <v>171</v>
      </c>
      <c r="D25" s="30">
        <v>30</v>
      </c>
      <c r="E25" s="32">
        <v>5</v>
      </c>
      <c r="F25" s="26" t="s">
        <v>32</v>
      </c>
    </row>
    <row r="26" spans="1:16" x14ac:dyDescent="0.25">
      <c r="A26" s="28" t="s">
        <v>130</v>
      </c>
      <c r="B26" s="26" t="s">
        <v>154</v>
      </c>
      <c r="C26" s="26" t="s">
        <v>172</v>
      </c>
      <c r="D26" s="30">
        <v>90</v>
      </c>
      <c r="E26" s="32">
        <v>35</v>
      </c>
      <c r="F26" s="26" t="s">
        <v>36</v>
      </c>
    </row>
    <row r="27" spans="1:16" x14ac:dyDescent="0.25">
      <c r="A27" s="28" t="s">
        <v>125</v>
      </c>
      <c r="B27" s="26" t="s">
        <v>153</v>
      </c>
      <c r="C27" s="26" t="s">
        <v>167</v>
      </c>
      <c r="D27" s="30">
        <v>130</v>
      </c>
      <c r="E27" s="32">
        <v>40</v>
      </c>
      <c r="F27" s="26" t="s">
        <v>36</v>
      </c>
    </row>
    <row r="28" spans="1:16" x14ac:dyDescent="0.25">
      <c r="A28" s="28" t="s">
        <v>126</v>
      </c>
      <c r="B28" s="26" t="s">
        <v>153</v>
      </c>
      <c r="C28" s="26" t="s">
        <v>168</v>
      </c>
      <c r="D28" s="30">
        <v>900</v>
      </c>
      <c r="E28" s="32">
        <v>25</v>
      </c>
      <c r="F28" s="26" t="s">
        <v>28</v>
      </c>
    </row>
    <row r="29" spans="1:16" x14ac:dyDescent="0.25">
      <c r="A29" s="28" t="s">
        <v>142</v>
      </c>
      <c r="B29" s="26" t="s">
        <v>153</v>
      </c>
      <c r="C29" s="26" t="s">
        <v>184</v>
      </c>
      <c r="D29" s="30">
        <v>130</v>
      </c>
      <c r="E29" s="32">
        <v>10</v>
      </c>
      <c r="F29" s="26" t="s">
        <v>59</v>
      </c>
    </row>
    <row r="30" spans="1:16" x14ac:dyDescent="0.25">
      <c r="A30" s="28" t="s">
        <v>124</v>
      </c>
      <c r="B30" s="26" t="s">
        <v>153</v>
      </c>
      <c r="C30" s="26" t="s">
        <v>166</v>
      </c>
      <c r="D30" s="30">
        <v>80</v>
      </c>
      <c r="E30" s="32">
        <v>15</v>
      </c>
      <c r="F30" s="26" t="s">
        <v>32</v>
      </c>
    </row>
    <row r="31" spans="1:16" x14ac:dyDescent="0.25">
      <c r="A31" s="28" t="s">
        <v>127</v>
      </c>
      <c r="B31" s="26" t="s">
        <v>153</v>
      </c>
      <c r="C31" s="26" t="s">
        <v>169</v>
      </c>
      <c r="D31" s="30">
        <v>70</v>
      </c>
      <c r="E31" s="32">
        <v>20</v>
      </c>
      <c r="F31" s="26" t="s">
        <v>200</v>
      </c>
    </row>
    <row r="32" spans="1:16" ht="16.05" customHeight="1" x14ac:dyDescent="0.25">
      <c r="A32" s="28" t="s">
        <v>123</v>
      </c>
      <c r="B32" s="26" t="s">
        <v>153</v>
      </c>
      <c r="C32" s="26" t="s">
        <v>165</v>
      </c>
      <c r="D32" s="30">
        <v>1000</v>
      </c>
      <c r="E32" s="32">
        <v>30</v>
      </c>
      <c r="F32" s="26" t="s">
        <v>28</v>
      </c>
    </row>
  </sheetData>
  <mergeCells count="17">
    <mergeCell ref="H6:P6"/>
    <mergeCell ref="H7:P7"/>
    <mergeCell ref="H8:P8"/>
    <mergeCell ref="H16:P16"/>
    <mergeCell ref="H17:P17"/>
    <mergeCell ref="H1:P1"/>
    <mergeCell ref="H2:P2"/>
    <mergeCell ref="H3:P3"/>
    <mergeCell ref="H4:P4"/>
    <mergeCell ref="H5:P5"/>
    <mergeCell ref="H15:P15"/>
    <mergeCell ref="H9:P9"/>
    <mergeCell ref="H10:P10"/>
    <mergeCell ref="H11:P11"/>
    <mergeCell ref="H12:P12"/>
    <mergeCell ref="H13:P13"/>
    <mergeCell ref="H14:P14"/>
  </mergeCells>
  <conditionalFormatting sqref="D1:D1048576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{8DC4C292-7E76-45D1-8828-5225DF4A3185}</x14:id>
        </ext>
      </extLst>
    </cfRule>
  </conditionalFormatting>
  <conditionalFormatting sqref="D2:D1048576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{A6F14C82-70BF-45CB-B4E2-6E212EC73DC9}</x14:id>
        </ext>
      </extLst>
    </cfRule>
  </conditionalFormatting>
  <conditionalFormatting sqref="F1:F1048576">
    <cfRule type="containsText" dxfId="11" priority="3" operator="containsText" text="Electronics">
      <formula>NOT(ISERROR(SEARCH("Electronics",F1)))</formula>
    </cfRule>
    <cfRule type="containsText" dxfId="10" priority="4" operator="containsText" text="Electronics">
      <formula>NOT(ISERROR(SEARCH("Electronics",F1)))</formula>
    </cfRule>
    <cfRule type="cellIs" dxfId="9" priority="5" operator="equal">
      <formula>"Electronics"</formula>
    </cfRule>
  </conditionalFormatting>
  <conditionalFormatting sqref="F2:F1048576">
    <cfRule type="containsText" dxfId="8" priority="6" operator="containsText" text="Electronics">
      <formula>NOT(ISERROR(SEARCH("Electronics",F2)))</formula>
    </cfRule>
    <cfRule type="containsText" dxfId="7" priority="7" operator="containsText" text="Electronics">
      <formula>NOT(ISERROR(SEARCH("Electronics",F2)))</formula>
    </cfRule>
    <cfRule type="containsText" dxfId="6" priority="8" operator="containsText" text="Electronics">
      <formula>NOT(ISERROR(SEARCH("Electronics",F2)))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DC4C292-7E76-45D1-8828-5225DF4A318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D1:D1048576</xm:sqref>
        </x14:conditionalFormatting>
        <x14:conditionalFormatting xmlns:xm="http://schemas.microsoft.com/office/excel/2006/main">
          <x14:cfRule type="dataBar" id="{A6F14C82-70BF-45CB-B4E2-6E212EC73DC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D2:D1048576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94D8CA9-AA2F-46E9-903A-DC914B61636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Instructions</vt:lpstr>
      <vt:lpstr>Dataset</vt:lpstr>
      <vt:lpstr>Cleaning</vt:lpstr>
      <vt:lpstr>Cleaned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Abinaya L</cp:lastModifiedBy>
  <dcterms:modified xsi:type="dcterms:W3CDTF">2026-01-12T05:09:10Z</dcterms:modified>
</cp:coreProperties>
</file>